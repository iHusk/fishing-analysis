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yes-mac/Documents/GitHub/fishing-analysis/"/>
    </mc:Choice>
  </mc:AlternateContent>
  <xr:revisionPtr revIDLastSave="0" documentId="13_ncr:1_{FFEB5AE8-9FEF-B240-A599-286BB96DF49A}" xr6:coauthVersionLast="47" xr6:coauthVersionMax="47" xr10:uidLastSave="{00000000-0000-0000-0000-000000000000}"/>
  <bookViews>
    <workbookView xWindow="0" yWindow="660" windowWidth="34560" windowHeight="20520" xr2:uid="{E89835B6-6A1A-B146-BC53-F8D794D2E1B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5" i="1" l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S16" i="1"/>
  <c r="T13" i="1"/>
  <c r="S13" i="1"/>
  <c r="U13" i="1" s="1"/>
  <c r="T12" i="1"/>
  <c r="S12" i="1"/>
  <c r="U12" i="1" s="1"/>
  <c r="U11" i="1"/>
  <c r="T11" i="1"/>
  <c r="S11" i="1"/>
  <c r="U7" i="1"/>
  <c r="V7" i="1" s="1"/>
  <c r="S7" i="1"/>
  <c r="U6" i="1"/>
  <c r="V6" i="1" s="1"/>
  <c r="S6" i="1"/>
  <c r="U5" i="1"/>
  <c r="V5" i="1" s="1"/>
  <c r="S5" i="1"/>
  <c r="U4" i="1"/>
  <c r="V4" i="1" s="1"/>
  <c r="S4" i="1"/>
  <c r="U3" i="1"/>
  <c r="V3" i="1" s="1"/>
  <c r="S3" i="1"/>
  <c r="U2" i="1"/>
  <c r="V2" i="1" s="1"/>
  <c r="S2" i="1"/>
  <c r="P2" i="1"/>
  <c r="P3" i="1"/>
  <c r="P4" i="1"/>
  <c r="P5" i="1"/>
  <c r="P6" i="1"/>
  <c r="P7" i="1"/>
  <c r="P8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D75" i="1"/>
  <c r="D74" i="1"/>
  <c r="D73" i="1"/>
  <c r="B75" i="1"/>
  <c r="B74" i="1"/>
  <c r="B73" i="1"/>
  <c r="B72" i="1"/>
  <c r="O75" i="1"/>
  <c r="O74" i="1"/>
  <c r="O73" i="1"/>
  <c r="O72" i="1"/>
  <c r="A75" i="1"/>
  <c r="A74" i="1"/>
  <c r="A73" i="1"/>
  <c r="A72" i="1"/>
  <c r="D7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A71" i="1"/>
  <c r="D7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Hayes</author>
  </authors>
  <commentList>
    <comment ref="K1" authorId="0" shapeId="0" xr:uid="{A710EA99-0A68-D346-9274-62C43F74C30C}">
      <text>
        <r>
          <rPr>
            <b/>
            <sz val="10"/>
            <color rgb="FF000000"/>
            <rFont val="Tahoma"/>
            <family val="2"/>
          </rPr>
          <t>Tyler Hayes:</t>
        </r>
        <r>
          <rPr>
            <sz val="10"/>
            <color rgb="FF000000"/>
            <rFont val="Tahoma"/>
            <family val="2"/>
          </rPr>
          <t xml:space="preserve">
Estimated weight = length × weight-per-inch. Uses this fish's DAILY wt/in if its day was weighed; otherwise the TRIP wt/in; otherwise the pooled long-run average (cell S16).</t>
        </r>
      </text>
    </comment>
    <comment ref="O1" authorId="0" shapeId="0" xr:uid="{C954787D-DC40-6B4F-94E4-7FE6E51AA08B}">
      <text>
        <r>
          <rPr>
            <b/>
            <sz val="10"/>
            <color rgb="FF000000"/>
            <rFont val="Tahoma"/>
            <family val="2"/>
          </rPr>
          <t>Tyler Hayes:</t>
        </r>
        <r>
          <rPr>
            <sz val="10"/>
            <color rgb="FF000000"/>
            <rFont val="Tahoma"/>
            <family val="2"/>
          </rPr>
          <t xml:space="preserve">
Trip = month + year, auto-filled from the datetime. All catches in the same month/year belong to one trip. Don't edit.</t>
        </r>
      </text>
    </comment>
    <comment ref="P1" authorId="0" shapeId="0" xr:uid="{CC10EB5C-4C41-2C44-8F80-60787C0F7458}">
      <text>
        <r>
          <rPr>
            <b/>
            <sz val="10"/>
            <color rgb="FF000000"/>
            <rFont val="Tahoma"/>
            <family val="2"/>
          </rPr>
          <t>Tyler Hayes:</t>
        </r>
        <r>
          <rPr>
            <sz val="10"/>
            <color rgb="FF000000"/>
            <rFont val="Tahoma"/>
            <family val="2"/>
          </rPr>
          <t xml:space="preserve">
weigh_date = the day the bag was weighed. Auto-fills to the catch's date. Only edit for a single weigh-in that covered multiple days (e.g. 2023 Thu+Fri are both set to the Thursday).</t>
        </r>
      </text>
    </comment>
    <comment ref="R1" authorId="0" shapeId="0" xr:uid="{6F4B57E1-C623-E64B-9CC7-6088914DA623}">
      <text>
        <r>
          <rPr>
            <b/>
            <sz val="10"/>
            <color rgb="FF000000"/>
            <rFont val="Tahoma"/>
            <family val="2"/>
          </rPr>
          <t>Tyler Hayes:</t>
        </r>
        <r>
          <rPr>
            <sz val="10"/>
            <color rgb="FF000000"/>
            <rFont val="Tahoma"/>
            <family val="2"/>
          </rPr>
          <t xml:space="preserve">
WEIGH-INS (daily): add ONE row per day you weigh the bag. Enter weigh_date and daily_wt_lbs (blue). day_inches and wt/in fill in automatically. This is what drives each fish's weight.</t>
        </r>
      </text>
    </comment>
    <comment ref="T1" authorId="0" shapeId="0" xr:uid="{5942ECB5-9671-5044-AB1B-C357BB013D1C}">
      <text>
        <r>
          <rPr>
            <b/>
            <sz val="10"/>
            <color rgb="FF000000"/>
            <rFont val="Tahoma"/>
            <family val="2"/>
          </rPr>
          <t>Tyler Hayes:</t>
        </r>
        <r>
          <rPr>
            <sz val="10"/>
            <color rgb="FF000000"/>
            <rFont val="Tahoma"/>
            <family val="2"/>
          </rPr>
          <t xml:space="preserve">
Enter the total bag weight for that day, in lbs (blue = you type it).</t>
        </r>
      </text>
    </comment>
    <comment ref="R10" authorId="0" shapeId="0" xr:uid="{A8CC654C-3BB5-4044-82A7-7F0E2642213B}">
      <text>
        <r>
          <rPr>
            <b/>
            <sz val="10"/>
            <color rgb="FF000000"/>
            <rFont val="Tahoma"/>
            <family val="2"/>
          </rPr>
          <t>Tyler Hayes:</t>
        </r>
        <r>
          <rPr>
            <sz val="10"/>
            <color rgb="FF000000"/>
            <rFont val="Tahoma"/>
            <family val="2"/>
          </rPr>
          <t xml:space="preserve">
TRIP ROLLUP (automatic): trip weight = sum of that trip's daily weigh-ins; inches and wt/in compute themselves. Nothing to enter here.</t>
        </r>
      </text>
    </comment>
    <comment ref="S16" authorId="0" shapeId="0" xr:uid="{953135BF-7F41-A643-BBC0-875E73BAC88C}">
      <text>
        <r>
          <rPr>
            <b/>
            <sz val="10"/>
            <color rgb="FF000000"/>
            <rFont val="Tahoma"/>
            <family val="2"/>
          </rPr>
          <t>Tyler Hayes:</t>
        </r>
        <r>
          <rPr>
            <sz val="10"/>
            <color rgb="FF000000"/>
            <rFont val="Tahoma"/>
            <family val="2"/>
          </rPr>
          <t xml:space="preserve">
Fallback ratio = total weighed lbs ÷ total weighed inches across all days. Used only when a fish's day and trip have no recorded weight.</t>
        </r>
      </text>
    </comment>
  </commentList>
</comments>
</file>

<file path=xl/sharedStrings.xml><?xml version="1.0" encoding="utf-8"?>
<sst xmlns="http://schemas.openxmlformats.org/spreadsheetml/2006/main" count="643" uniqueCount="53">
  <si>
    <t>id</t>
  </si>
  <si>
    <t>fisherman</t>
  </si>
  <si>
    <t>day</t>
  </si>
  <si>
    <t>length</t>
  </si>
  <si>
    <t>depth</t>
  </si>
  <si>
    <t>bait</t>
  </si>
  <si>
    <t>tyler</t>
  </si>
  <si>
    <t>brent</t>
  </si>
  <si>
    <t>matt</t>
  </si>
  <si>
    <t>brian</t>
  </si>
  <si>
    <t>thursday</t>
  </si>
  <si>
    <t>friday</t>
  </si>
  <si>
    <t>leech</t>
  </si>
  <si>
    <t>crawler</t>
  </si>
  <si>
    <t>location</t>
  </si>
  <si>
    <t>pump house</t>
  </si>
  <si>
    <t>tall prarie chicken</t>
  </si>
  <si>
    <t>mouth of cheyenne</t>
  </si>
  <si>
    <t>saturday</t>
  </si>
  <si>
    <t>year</t>
  </si>
  <si>
    <t>datetime</t>
  </si>
  <si>
    <t>1 up tall prarie chicken</t>
  </si>
  <si>
    <t>south side of bend</t>
  </si>
  <si>
    <t>weight_calc</t>
  </si>
  <si>
    <t>fish_species</t>
  </si>
  <si>
    <t>walleye</t>
  </si>
  <si>
    <t>kept</t>
  </si>
  <si>
    <t>north of bobs</t>
  </si>
  <si>
    <t>perch</t>
  </si>
  <si>
    <t>south of whitlock</t>
  </si>
  <si>
    <t>north of south of whilock, east side</t>
  </si>
  <si>
    <t>swiftbird bay</t>
  </si>
  <si>
    <t>buffalo bay</t>
  </si>
  <si>
    <t>white</t>
  </si>
  <si>
    <t>lure_color_1</t>
  </si>
  <si>
    <t>lure_color_2</t>
  </si>
  <si>
    <t>trip_date</t>
  </si>
  <si>
    <t>chartreuse</t>
  </si>
  <si>
    <t>pooled avg wt/in (fallback)</t>
  </si>
  <si>
    <t>west edge of "1 up from tall prarie chicken"</t>
  </si>
  <si>
    <t>red</t>
  </si>
  <si>
    <t>trip</t>
  </si>
  <si>
    <t>bare</t>
  </si>
  <si>
    <t>just east of pump house</t>
  </si>
  <si>
    <t>gold</t>
  </si>
  <si>
    <t>west side of pump house</t>
  </si>
  <si>
    <t>weigh_date</t>
  </si>
  <si>
    <t>daily_wt_lbs</t>
  </si>
  <si>
    <t>day_inches</t>
  </si>
  <si>
    <t>daily_wt_per_inch</t>
  </si>
  <si>
    <t>trip_wt_lbs</t>
  </si>
  <si>
    <t>trip_inches</t>
  </si>
  <si>
    <t>trip_wt_per_inch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</si>
</sst>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mmm\ yyyy"/>
    <numFmt numFmtId="167" formatCode="m/d/yyyy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0" borderId="0" xfId="0" applyNumberFormat="1"/>
    <xf numFmtId="0" fontId="2" fillId="0" borderId="0" xfId="0" applyFont="1"/>
    <xf numFmtId="22" fontId="2" fillId="0" borderId="0" xfId="0" applyNumberFormat="1" applyFont="1"/>
    <xf numFmtId="2" fontId="3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166" fontId="0" fillId="0" borderId="0" xfId="0" applyNumberFormat="1"/>
    <xf numFmtId="167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font>
        <color rgb="FF0000FF"/>
      </font>
    </dxf>
    <dxf>
      <numFmt numFmtId="27" formatCode="m/d/yy\ h:mm"/>
    </dxf>
    <dxf>
      <numFmt numFmtId="27" formatCode="m/d/yy\ h:mm"/>
    </dxf>
    <dxf>
      <numFmt numFmtId="27" formatCode="m/d/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3267F2-7E41-F74F-8544-68711203FCAA}" name="CatchLog" displayName="CatchLog" ref="A1:P75" totalsRowShown="0">
  <autoFilter ref="A1:P75" xr:uid="{DD3267F2-7E41-F74F-8544-68711203FCAA}"/>
  <tableColumns count="16">
    <tableColumn id="1" xr3:uid="{B4E88928-3490-434E-88E8-63BEE95C599F}" name="id">
      <calculatedColumnFormula>ROW()-1</calculatedColumnFormula>
    </tableColumn>
    <tableColumn id="2" xr3:uid="{8163073B-E337-694C-86C4-77EB25C0AD7B}" name="year">
      <calculatedColumnFormula>YEAR(CatchLog[[#This Row],[datetime]])</calculatedColumnFormula>
    </tableColumn>
    <tableColumn id="3" xr3:uid="{0BF113F6-DEF5-1C4C-8C47-29B8F7EE68AE}" name="fisherman"/>
    <tableColumn id="4" xr3:uid="{94EA1B2C-9320-C746-963B-A6AC3E2485A7}" name="day">
      <calculatedColumnFormula>LOWER(TEXT(CatchLog[[#This Row],[datetime]],"dddd"))</calculatedColumnFormula>
    </tableColumn>
    <tableColumn id="5" xr3:uid="{EBF35D45-C113-8E45-A222-408050ADA425}" name="datetime" dataDxfId="4"/>
    <tableColumn id="6" xr3:uid="{A92C5F13-902D-174C-8DF5-24A5786B3BCA}" name="fish_species" dataDxfId="3"/>
    <tableColumn id="7" xr3:uid="{1BF7A734-98A9-4F43-AD91-5E3F9F744820}" name="kept" dataDxfId="2"/>
    <tableColumn id="8" xr3:uid="{C4D781D7-147D-7E46-A599-A0D670CEFD3B}" name="length"/>
    <tableColumn id="9" xr3:uid="{0E01E017-1E95-704C-93C0-725AC5CBA6A4}" name="depth"/>
    <tableColumn id="10" xr3:uid="{0069D925-C0E6-494E-8D99-F84C2E41C0B4}" name="bait"/>
    <tableColumn id="11" xr3:uid="{6FBA5910-158C-AC45-A379-DC4BC94DFCC2}" name="weight_calc" dataDxfId="0">
      <calculatedColumnFormula>ROUND(H2*IFERROR(INDEX(Weighins[daily_wt_per_inch],MATCH(P2,Weighins[weigh_date],0)),IFERROR(INDEX(Trips[trip_wt_per_inch],MATCH(O2,Trips[trip],0)),$S$16)),2)</calculatedColumnFormula>
    </tableColumn>
    <tableColumn id="12" xr3:uid="{17D278A3-229B-E649-A127-AA106E9CA591}" name="location"/>
    <tableColumn id="13" xr3:uid="{24894512-C085-0F4D-AE69-78318D4A6D97}" name="lure_color_1"/>
    <tableColumn id="14" xr3:uid="{12D74003-4A3B-414A-B9F1-9B0ACA34FD7A}" name="lure_color_2"/>
    <tableColumn id="15" xr3:uid="{E77E9D32-3F1E-964C-92D0-D7FD2BC916DD}" name="trip">
      <calculatedColumnFormula>DATE(YEAR(CatchLog[[#This Row],[datetime]]),MONTH(CatchLog[[#This Row],[datetime]]),1)</calculatedColumnFormula>
    </tableColumn>
    <tableColumn id="16" xr3:uid="{6A1B7451-D5BB-FF47-9EE1-4D410330A67A}" name="weigh_date">
      <calculatedColumnFormula>INT(CatchLog[[#This Row],[datetime]])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784FF7-701C-AE47-9A64-8F010641E4ED}" name="Weighins" displayName="Weighins" ref="R1:V7" totalsRowShown="0">
  <autoFilter ref="R1:V7" xr:uid="{B5784FF7-701C-AE47-9A64-8F010641E4ED}"/>
  <tableColumns count="5">
    <tableColumn id="1" xr3:uid="{6F590878-0F9F-414A-9FF8-83CE7B8B9C42}" name="weigh_date"/>
    <tableColumn id="2" xr3:uid="{AB98265A-3AEB-C746-B414-0366EC373998}" name="trip">
      <calculatedColumnFormula>DATE(YEAR(R2),MONTH(R2),1)</calculatedColumnFormula>
    </tableColumn>
    <tableColumn id="3" xr3:uid="{58AACA3A-483B-8E4E-96DC-AE462AB51676}" name="daily_wt_lbs" dataDxfId="1"/>
    <tableColumn id="4" xr3:uid="{DED14FF4-F574-854C-82AB-475EFD368F72}" name="day_inches">
      <calculatedColumnFormula>SUMIFS($H$2:$H$1000,$P$2:$P$1000,R2)</calculatedColumnFormula>
    </tableColumn>
    <tableColumn id="5" xr3:uid="{FD936D73-AADF-5A44-9C6F-132FE6105075}" name="daily_wt_per_inch">
      <calculatedColumnFormula>IF(T2&gt;0,T2/U2,NA())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7B0D33-7D82-D340-9D5F-2070E694ABD6}" name="Trips" displayName="Trips" ref="R10:U13" totalsRowShown="0">
  <autoFilter ref="R10:U13" xr:uid="{F37B0D33-7D82-D340-9D5F-2070E694ABD6}"/>
  <tableColumns count="4">
    <tableColumn id="1" xr3:uid="{826C1769-5AF6-8E4C-90D7-27842C4E7FE2}" name="trip"/>
    <tableColumn id="2" xr3:uid="{D5E784D1-898A-6747-BE3E-158D9942AEC1}" name="trip_wt_lbs">
      <calculatedColumnFormula>SUMIFS(Weighins[daily_wt_lbs],Weighins[trip],R11)</calculatedColumnFormula>
    </tableColumn>
    <tableColumn id="3" xr3:uid="{80C2E4C2-2243-4D4E-B372-D40376A1066C}" name="trip_inches">
      <calculatedColumnFormula>SUMIFS($H$2:$H$1000,$O$2:$O$1000,R11)</calculatedColumnFormula>
    </tableColumn>
    <tableColumn id="4" xr3:uid="{A0827BFF-C094-1B48-8656-05DF144048B6}" name="trip_wt_per_inch">
      <calculatedColumnFormula>IF(S11&gt;0,S11/T11,NA())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4A7F858-79E6-B348-87C4-C82CBF5BC12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490e2be-e2e5-4d62-a090-4b62fc0cca6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00D9A-5DD4-CE43-9F58-C812E2719168}">
  <dimension ref="A1:V75"/>
  <sheetViews>
    <sheetView tabSelected="1" topLeftCell="J1" zoomScale="90" workbookViewId="0">
      <pane ySplit="1" topLeftCell="A2" activePane="bottomLeft" state="frozen"/>
      <selection pane="bottomLeft" activeCell="U16" sqref="U16"/>
    </sheetView>
  </sheetViews>
  <sheetFormatPr baseColWidth="10" defaultRowHeight="16" x14ac:dyDescent="0.2"/>
  <cols>
    <col min="3" max="3" width="12.1640625" customWidth="1"/>
    <col min="5" max="7" width="34.1640625" customWidth="1"/>
    <col min="11" max="11" width="13.83203125" customWidth="1"/>
    <col min="13" max="14" width="14" customWidth="1"/>
    <col min="15" max="15" width="11.5" customWidth="1"/>
    <col min="16" max="16" width="13" bestFit="1" customWidth="1"/>
    <col min="17" max="17" width="20" bestFit="1" customWidth="1"/>
    <col min="18" max="18" width="15.83203125" bestFit="1" customWidth="1"/>
    <col min="19" max="19" width="19" bestFit="1" customWidth="1"/>
    <col min="20" max="20" width="13.6640625" customWidth="1"/>
    <col min="21" max="21" width="23.6640625" bestFit="1" customWidth="1"/>
    <col min="22" max="22" width="18.5" customWidth="1"/>
  </cols>
  <sheetData>
    <row r="1" spans="1:22" x14ac:dyDescent="0.2">
      <c r="A1" t="s">
        <v>0</v>
      </c>
      <c r="B1" t="s">
        <v>19</v>
      </c>
      <c r="C1" t="s">
        <v>1</v>
      </c>
      <c r="D1" t="s">
        <v>2</v>
      </c>
      <c r="E1" t="s">
        <v>20</v>
      </c>
      <c r="F1" t="s">
        <v>24</v>
      </c>
      <c r="G1" t="s">
        <v>26</v>
      </c>
      <c r="H1" t="s">
        <v>3</v>
      </c>
      <c r="I1" t="s">
        <v>4</v>
      </c>
      <c r="J1" t="s">
        <v>5</v>
      </c>
      <c r="K1" t="s">
        <v>23</v>
      </c>
      <c r="L1" t="s">
        <v>14</v>
      </c>
      <c r="M1" t="s">
        <v>34</v>
      </c>
      <c r="N1" t="s">
        <v>35</v>
      </c>
      <c r="O1" t="s">
        <v>41</v>
      </c>
      <c r="P1" t="s">
        <v>46</v>
      </c>
      <c r="R1" t="s">
        <v>46</v>
      </c>
      <c r="S1" t="s">
        <v>41</v>
      </c>
      <c r="T1" t="s">
        <v>47</v>
      </c>
      <c r="U1" t="s">
        <v>48</v>
      </c>
      <c r="V1" t="s">
        <v>49</v>
      </c>
    </row>
    <row r="2" spans="1:22" x14ac:dyDescent="0.2">
      <c r="A2">
        <f t="shared" ref="A2:A33" si="0">ROW()-1</f>
        <v>1</v>
      </c>
      <c r="B2">
        <f>YEAR(CatchLog[[#This Row],[datetime]])</f>
        <v>2023</v>
      </c>
      <c r="C2" t="s">
        <v>6</v>
      </c>
      <c r="D2" t="str">
        <f>LOWER(TEXT(CatchLog[[#This Row],[datetime]],"dddd"))</f>
        <v>thursday</v>
      </c>
      <c r="E2" s="1">
        <v>45092.53125</v>
      </c>
      <c r="F2" s="1" t="s">
        <v>25</v>
      </c>
      <c r="G2" s="1" t="b">
        <v>1</v>
      </c>
      <c r="H2">
        <v>14</v>
      </c>
      <c r="I2">
        <v>9.5</v>
      </c>
      <c r="K2">
        <f>ROUND(H2*IFERROR(INDEX(Weighins[daily_wt_per_inch],MATCH(P2,Weighins[weigh_date],0)),IFERROR(INDEX(Trips[trip_wt_per_inch],MATCH(O2,Trips[trip],0)),$S$16)),2)</f>
        <v>1.2</v>
      </c>
      <c r="O2" s="9">
        <f>DATE(YEAR(CatchLog[[#This Row],[datetime]]),MONTH(CatchLog[[#This Row],[datetime]]),1)</f>
        <v>45078</v>
      </c>
      <c r="P2" s="10">
        <f>INT(CatchLog[[#This Row],[datetime]])</f>
        <v>45092</v>
      </c>
      <c r="R2" s="10">
        <v>45092</v>
      </c>
      <c r="S2" s="9">
        <f>DATE(YEAR(R2),MONTH(R2),1)</f>
        <v>45078</v>
      </c>
      <c r="T2" s="4">
        <v>21.2</v>
      </c>
      <c r="U2" s="5">
        <f>SUMIFS($H$2:$H$1000,$P$2:$P$1000,R2)</f>
        <v>246.5</v>
      </c>
      <c r="V2" s="6">
        <f>IF(T2&gt;0,T2/U2,NA())</f>
        <v>8.6004056795131845E-2</v>
      </c>
    </row>
    <row r="3" spans="1:22" x14ac:dyDescent="0.2">
      <c r="A3">
        <f t="shared" si="0"/>
        <v>2</v>
      </c>
      <c r="B3">
        <f>YEAR(CatchLog[[#This Row],[datetime]])</f>
        <v>2023</v>
      </c>
      <c r="C3" t="s">
        <v>9</v>
      </c>
      <c r="D3" t="str">
        <f>LOWER(TEXT(CatchLog[[#This Row],[datetime]],"dddd"))</f>
        <v>thursday</v>
      </c>
      <c r="E3" s="1">
        <v>45092.534722222219</v>
      </c>
      <c r="F3" s="1" t="s">
        <v>25</v>
      </c>
      <c r="G3" s="1" t="b">
        <v>1</v>
      </c>
      <c r="H3">
        <v>17</v>
      </c>
      <c r="I3">
        <v>9.5</v>
      </c>
      <c r="K3">
        <f>ROUND(H3*IFERROR(INDEX(Weighins[daily_wt_per_inch],MATCH(P3,Weighins[weigh_date],0)),IFERROR(INDEX(Trips[trip_wt_per_inch],MATCH(O3,Trips[trip],0)),$S$16)),2)</f>
        <v>1.46</v>
      </c>
      <c r="O3" s="9">
        <f>DATE(YEAR(CatchLog[[#This Row],[datetime]]),MONTH(CatchLog[[#This Row],[datetime]]),1)</f>
        <v>45078</v>
      </c>
      <c r="P3" s="10">
        <f>INT(CatchLog[[#This Row],[datetime]])</f>
        <v>45092</v>
      </c>
      <c r="R3" s="10">
        <v>45094</v>
      </c>
      <c r="S3" s="9">
        <f>DATE(YEAR(R3),MONTH(R3),1)</f>
        <v>45078</v>
      </c>
      <c r="T3" s="4">
        <v>20.100000000000001</v>
      </c>
      <c r="U3" s="5">
        <f>SUMIFS($H$2:$H$1000,$P$2:$P$1000,R3)</f>
        <v>252.25</v>
      </c>
      <c r="V3" s="6">
        <f>IF(T3&gt;0,T3/U3,NA())</f>
        <v>7.9682854311199217E-2</v>
      </c>
    </row>
    <row r="4" spans="1:22" x14ac:dyDescent="0.2">
      <c r="A4">
        <f t="shared" si="0"/>
        <v>3</v>
      </c>
      <c r="B4">
        <f>YEAR(CatchLog[[#This Row],[datetime]])</f>
        <v>2023</v>
      </c>
      <c r="C4" t="s">
        <v>6</v>
      </c>
      <c r="D4" t="str">
        <f>LOWER(TEXT(CatchLog[[#This Row],[datetime]],"dddd"))</f>
        <v>thursday</v>
      </c>
      <c r="E4" s="1">
        <v>45092.552083333336</v>
      </c>
      <c r="F4" s="1" t="s">
        <v>25</v>
      </c>
      <c r="G4" s="1" t="b">
        <v>1</v>
      </c>
      <c r="H4">
        <v>15.5</v>
      </c>
      <c r="I4">
        <v>9.5</v>
      </c>
      <c r="K4">
        <f>ROUND(H4*IFERROR(INDEX(Weighins[daily_wt_per_inch],MATCH(P4,Weighins[weigh_date],0)),IFERROR(INDEX(Trips[trip_wt_per_inch],MATCH(O4,Trips[trip],0)),$S$16)),2)</f>
        <v>1.33</v>
      </c>
      <c r="O4" s="9">
        <f>DATE(YEAR(CatchLog[[#This Row],[datetime]]),MONTH(CatchLog[[#This Row],[datetime]]),1)</f>
        <v>45078</v>
      </c>
      <c r="P4" s="10">
        <f>INT(CatchLog[[#This Row],[datetime]])</f>
        <v>45092</v>
      </c>
      <c r="R4" s="10">
        <v>45457</v>
      </c>
      <c r="S4" s="9">
        <f>DATE(YEAR(R4),MONTH(R4),1)</f>
        <v>45444</v>
      </c>
      <c r="T4" s="4">
        <v>25</v>
      </c>
      <c r="U4" s="5">
        <f>SUMIFS($H$2:$H$1000,$P$2:$P$1000,R4)</f>
        <v>255.75</v>
      </c>
      <c r="V4" s="6">
        <f>IF(T4&gt;0,T4/U4,NA())</f>
        <v>9.7751710654936458E-2</v>
      </c>
    </row>
    <row r="5" spans="1:22" x14ac:dyDescent="0.2">
      <c r="A5">
        <f t="shared" si="0"/>
        <v>4</v>
      </c>
      <c r="B5">
        <f>YEAR(CatchLog[[#This Row],[datetime]])</f>
        <v>2023</v>
      </c>
      <c r="C5" t="s">
        <v>7</v>
      </c>
      <c r="D5" t="str">
        <f>LOWER(TEXT(CatchLog[[#This Row],[datetime]],"dddd"))</f>
        <v>thursday</v>
      </c>
      <c r="E5" s="1">
        <v>45092.548611111109</v>
      </c>
      <c r="F5" s="1" t="s">
        <v>25</v>
      </c>
      <c r="G5" s="1" t="b">
        <v>1</v>
      </c>
      <c r="H5">
        <v>15</v>
      </c>
      <c r="I5">
        <v>9.5</v>
      </c>
      <c r="K5">
        <f>ROUND(H5*IFERROR(INDEX(Weighins[daily_wt_per_inch],MATCH(P5,Weighins[weigh_date],0)),IFERROR(INDEX(Trips[trip_wt_per_inch],MATCH(O5,Trips[trip],0)),$S$16)),2)</f>
        <v>1.29</v>
      </c>
      <c r="O5" s="9">
        <f>DATE(YEAR(CatchLog[[#This Row],[datetime]]),MONTH(CatchLog[[#This Row],[datetime]]),1)</f>
        <v>45078</v>
      </c>
      <c r="P5" s="10">
        <f>INT(CatchLog[[#This Row],[datetime]])</f>
        <v>45092</v>
      </c>
      <c r="R5" s="10">
        <v>45458</v>
      </c>
      <c r="S5" s="9">
        <f>DATE(YEAR(R5),MONTH(R5),1)</f>
        <v>45444</v>
      </c>
      <c r="T5" s="4">
        <v>23</v>
      </c>
      <c r="U5" s="5">
        <f>SUMIFS($H$2:$H$1000,$P$2:$P$1000,R5)</f>
        <v>250.75</v>
      </c>
      <c r="V5" s="6">
        <f>IF(T5&gt;0,T5/U5,NA())</f>
        <v>9.1724825523429712E-2</v>
      </c>
    </row>
    <row r="6" spans="1:22" x14ac:dyDescent="0.2">
      <c r="A6">
        <f t="shared" si="0"/>
        <v>5</v>
      </c>
      <c r="B6">
        <f>YEAR(CatchLog[[#This Row],[datetime]])</f>
        <v>2023</v>
      </c>
      <c r="C6" t="s">
        <v>7</v>
      </c>
      <c r="D6" t="str">
        <f>LOWER(TEXT(CatchLog[[#This Row],[datetime]],"dddd"))</f>
        <v>thursday</v>
      </c>
      <c r="E6" s="1">
        <v>45092.583333333336</v>
      </c>
      <c r="F6" s="1" t="s">
        <v>25</v>
      </c>
      <c r="G6" s="1" t="b">
        <v>1</v>
      </c>
      <c r="H6">
        <v>13</v>
      </c>
      <c r="I6">
        <v>9</v>
      </c>
      <c r="K6">
        <f>ROUND(H6*IFERROR(INDEX(Weighins[daily_wt_per_inch],MATCH(P6,Weighins[weigh_date],0)),IFERROR(INDEX(Trips[trip_wt_per_inch],MATCH(O6,Trips[trip],0)),$S$16)),2)</f>
        <v>1.1200000000000001</v>
      </c>
      <c r="O6" s="9">
        <f>DATE(YEAR(CatchLog[[#This Row],[datetime]]),MONTH(CatchLog[[#This Row],[datetime]]),1)</f>
        <v>45078</v>
      </c>
      <c r="P6" s="10">
        <f>INT(CatchLog[[#This Row],[datetime]])</f>
        <v>45092</v>
      </c>
      <c r="R6" s="10">
        <v>45821</v>
      </c>
      <c r="S6" s="9">
        <f>DATE(YEAR(R6),MONTH(R6),1)</f>
        <v>45809</v>
      </c>
      <c r="T6" s="4">
        <v>9.32</v>
      </c>
      <c r="U6" s="5">
        <f>SUMIFS($H$2:$H$1000,$P$2:$P$1000,R6)</f>
        <v>80.75</v>
      </c>
      <c r="V6" s="6">
        <f>IF(T6&gt;0,T6/U6,NA())</f>
        <v>0.11541795665634676</v>
      </c>
    </row>
    <row r="7" spans="1:22" x14ac:dyDescent="0.2">
      <c r="A7">
        <f t="shared" si="0"/>
        <v>6</v>
      </c>
      <c r="B7">
        <f>YEAR(CatchLog[[#This Row],[datetime]])</f>
        <v>2023</v>
      </c>
      <c r="C7" t="s">
        <v>9</v>
      </c>
      <c r="D7" t="str">
        <f>LOWER(TEXT(CatchLog[[#This Row],[datetime]],"dddd"))</f>
        <v>thursday</v>
      </c>
      <c r="E7" s="1">
        <v>45092.583333333336</v>
      </c>
      <c r="F7" s="1" t="s">
        <v>25</v>
      </c>
      <c r="G7" s="1" t="b">
        <v>1</v>
      </c>
      <c r="H7">
        <v>15</v>
      </c>
      <c r="I7">
        <v>9</v>
      </c>
      <c r="K7">
        <f>ROUND(H7*IFERROR(INDEX(Weighins[daily_wt_per_inch],MATCH(P7,Weighins[weigh_date],0)),IFERROR(INDEX(Trips[trip_wt_per_inch],MATCH(O7,Trips[trip],0)),$S$16)),2)</f>
        <v>1.29</v>
      </c>
      <c r="O7" s="9">
        <f>DATE(YEAR(CatchLog[[#This Row],[datetime]]),MONTH(CatchLog[[#This Row],[datetime]]),1)</f>
        <v>45078</v>
      </c>
      <c r="P7" s="10">
        <f>INT(CatchLog[[#This Row],[datetime]])</f>
        <v>45092</v>
      </c>
      <c r="R7" s="10">
        <v>45822</v>
      </c>
      <c r="S7" s="9">
        <f>DATE(YEAR(R7),MONTH(R7),1)</f>
        <v>45809</v>
      </c>
      <c r="T7" s="4">
        <v>10.17</v>
      </c>
      <c r="U7" s="5">
        <f>SUMIFS($H$2:$H$1000,$P$2:$P$1000,R7)</f>
        <v>95</v>
      </c>
      <c r="V7" s="6">
        <f>IF(T7&gt;0,T7/U7,NA())</f>
        <v>0.10705263157894737</v>
      </c>
    </row>
    <row r="8" spans="1:22" x14ac:dyDescent="0.2">
      <c r="A8">
        <f t="shared" si="0"/>
        <v>7</v>
      </c>
      <c r="B8">
        <f>YEAR(CatchLog[[#This Row],[datetime]])</f>
        <v>2023</v>
      </c>
      <c r="C8" t="s">
        <v>6</v>
      </c>
      <c r="D8" t="str">
        <f>LOWER(TEXT(CatchLog[[#This Row],[datetime]],"dddd"))</f>
        <v>thursday</v>
      </c>
      <c r="E8" s="1">
        <v>45092.604166666664</v>
      </c>
      <c r="F8" s="1" t="s">
        <v>25</v>
      </c>
      <c r="G8" s="1" t="b">
        <v>1</v>
      </c>
      <c r="H8">
        <v>16</v>
      </c>
      <c r="I8">
        <v>9</v>
      </c>
      <c r="K8">
        <f>ROUND(H8*IFERROR(INDEX(Weighins[daily_wt_per_inch],MATCH(P8,Weighins[weigh_date],0)),IFERROR(INDEX(Trips[trip_wt_per_inch],MATCH(O8,Trips[trip],0)),$S$16)),2)</f>
        <v>1.38</v>
      </c>
      <c r="O8" s="9">
        <f>DATE(YEAR(CatchLog[[#This Row],[datetime]]),MONTH(CatchLog[[#This Row],[datetime]]),1)</f>
        <v>45078</v>
      </c>
      <c r="P8" s="10">
        <f>INT(CatchLog[[#This Row],[datetime]])</f>
        <v>45092</v>
      </c>
    </row>
    <row r="9" spans="1:22" x14ac:dyDescent="0.2">
      <c r="A9">
        <f t="shared" si="0"/>
        <v>8</v>
      </c>
      <c r="B9">
        <f>YEAR(CatchLog[[#This Row],[datetime]])</f>
        <v>2023</v>
      </c>
      <c r="C9" t="s">
        <v>7</v>
      </c>
      <c r="D9" t="str">
        <f>LOWER(TEXT(CatchLog[[#This Row],[datetime]],"dddd"))</f>
        <v>friday</v>
      </c>
      <c r="E9" s="1">
        <v>45093.631944444445</v>
      </c>
      <c r="F9" s="1" t="s">
        <v>25</v>
      </c>
      <c r="G9" s="1" t="b">
        <v>1</v>
      </c>
      <c r="H9">
        <v>21</v>
      </c>
      <c r="I9">
        <v>11</v>
      </c>
      <c r="K9">
        <f>ROUND(H9*IFERROR(INDEX(Weighins[daily_wt_per_inch],MATCH(P9,Weighins[weigh_date],0)),IFERROR(INDEX(Trips[trip_wt_per_inch],MATCH(O9,Trips[trip],0)),$S$16)),2)</f>
        <v>1.81</v>
      </c>
      <c r="O9" s="9">
        <f>DATE(YEAR(CatchLog[[#This Row],[datetime]]),MONTH(CatchLog[[#This Row],[datetime]]),1)</f>
        <v>45078</v>
      </c>
      <c r="P9" s="10">
        <v>45092</v>
      </c>
    </row>
    <row r="10" spans="1:22" x14ac:dyDescent="0.2">
      <c r="A10">
        <f t="shared" si="0"/>
        <v>9</v>
      </c>
      <c r="B10">
        <f>YEAR(CatchLog[[#This Row],[datetime]])</f>
        <v>2023</v>
      </c>
      <c r="C10" t="s">
        <v>6</v>
      </c>
      <c r="D10" t="str">
        <f>LOWER(TEXT(CatchLog[[#This Row],[datetime]],"dddd"))</f>
        <v>friday</v>
      </c>
      <c r="E10" s="1">
        <v>45093.71875</v>
      </c>
      <c r="F10" s="1" t="s">
        <v>25</v>
      </c>
      <c r="G10" s="1" t="b">
        <v>1</v>
      </c>
      <c r="H10">
        <v>16</v>
      </c>
      <c r="I10">
        <v>10</v>
      </c>
      <c r="K10">
        <f>ROUND(H10*IFERROR(INDEX(Weighins[daily_wt_per_inch],MATCH(P10,Weighins[weigh_date],0)),IFERROR(INDEX(Trips[trip_wt_per_inch],MATCH(O10,Trips[trip],0)),$S$16)),2)</f>
        <v>1.38</v>
      </c>
      <c r="O10" s="9">
        <f>DATE(YEAR(CatchLog[[#This Row],[datetime]]),MONTH(CatchLog[[#This Row],[datetime]]),1)</f>
        <v>45078</v>
      </c>
      <c r="P10" s="10">
        <v>45092</v>
      </c>
      <c r="R10" t="s">
        <v>41</v>
      </c>
      <c r="S10" t="s">
        <v>50</v>
      </c>
      <c r="T10" t="s">
        <v>51</v>
      </c>
      <c r="U10" t="s">
        <v>52</v>
      </c>
    </row>
    <row r="11" spans="1:22" x14ac:dyDescent="0.2">
      <c r="A11">
        <f t="shared" si="0"/>
        <v>10</v>
      </c>
      <c r="B11">
        <f>YEAR(CatchLog[[#This Row],[datetime]])</f>
        <v>2023</v>
      </c>
      <c r="C11" t="s">
        <v>9</v>
      </c>
      <c r="D11" t="str">
        <f>LOWER(TEXT(CatchLog[[#This Row],[datetime]],"dddd"))</f>
        <v>friday</v>
      </c>
      <c r="E11" s="1">
        <v>45093.652777777781</v>
      </c>
      <c r="F11" s="1" t="s">
        <v>25</v>
      </c>
      <c r="G11" s="1" t="b">
        <v>1</v>
      </c>
      <c r="H11">
        <v>16</v>
      </c>
      <c r="I11">
        <v>7</v>
      </c>
      <c r="K11">
        <f>ROUND(H11*IFERROR(INDEX(Weighins[daily_wt_per_inch],MATCH(P11,Weighins[weigh_date],0)),IFERROR(INDEX(Trips[trip_wt_per_inch],MATCH(O11,Trips[trip],0)),$S$16)),2)</f>
        <v>1.38</v>
      </c>
      <c r="O11" s="9">
        <f>DATE(YEAR(CatchLog[[#This Row],[datetime]]),MONTH(CatchLog[[#This Row],[datetime]]),1)</f>
        <v>45078</v>
      </c>
      <c r="P11" s="10">
        <v>45092</v>
      </c>
      <c r="R11" s="9">
        <v>45078</v>
      </c>
      <c r="S11" s="11">
        <f>SUMIFS(Weighins[daily_wt_lbs],Weighins[trip],R11)</f>
        <v>41.3</v>
      </c>
      <c r="T11" s="5">
        <f>SUMIFS($H$2:$H$1000,$O$2:$O$1000,R11)</f>
        <v>498.75</v>
      </c>
      <c r="U11" s="6">
        <f>IF(S11&gt;0,S11/T11,NA())</f>
        <v>8.2807017543859648E-2</v>
      </c>
    </row>
    <row r="12" spans="1:22" x14ac:dyDescent="0.2">
      <c r="A12">
        <f t="shared" si="0"/>
        <v>11</v>
      </c>
      <c r="B12">
        <f>YEAR(CatchLog[[#This Row],[datetime]])</f>
        <v>2023</v>
      </c>
      <c r="C12" t="s">
        <v>7</v>
      </c>
      <c r="D12" t="str">
        <f>LOWER(TEXT(CatchLog[[#This Row],[datetime]],"dddd"))</f>
        <v>friday</v>
      </c>
      <c r="E12" s="1">
        <v>45093.697916666664</v>
      </c>
      <c r="F12" s="1" t="s">
        <v>25</v>
      </c>
      <c r="G12" s="1" t="b">
        <v>1</v>
      </c>
      <c r="H12">
        <v>13</v>
      </c>
      <c r="I12">
        <v>7</v>
      </c>
      <c r="K12">
        <f>ROUND(H12*IFERROR(INDEX(Weighins[daily_wt_per_inch],MATCH(P12,Weighins[weigh_date],0)),IFERROR(INDEX(Trips[trip_wt_per_inch],MATCH(O12,Trips[trip],0)),$S$16)),2)</f>
        <v>1.1200000000000001</v>
      </c>
      <c r="O12" s="9">
        <f>DATE(YEAR(CatchLog[[#This Row],[datetime]]),MONTH(CatchLog[[#This Row],[datetime]]),1)</f>
        <v>45078</v>
      </c>
      <c r="P12" s="10">
        <v>45092</v>
      </c>
      <c r="R12" s="9">
        <v>45444</v>
      </c>
      <c r="S12" s="11">
        <f>SUMIFS(Weighins[daily_wt_lbs],Weighins[trip],R12)</f>
        <v>48</v>
      </c>
      <c r="T12" s="5">
        <f>SUMIFS($H$2:$H$1000,$O$2:$O$1000,R12)</f>
        <v>506.5</v>
      </c>
      <c r="U12" s="6">
        <f>IF(S12&gt;0,S12/T12,NA())</f>
        <v>9.47680157946693E-2</v>
      </c>
    </row>
    <row r="13" spans="1:22" x14ac:dyDescent="0.2">
      <c r="A13">
        <f t="shared" si="0"/>
        <v>12</v>
      </c>
      <c r="B13">
        <f>YEAR(CatchLog[[#This Row],[datetime]])</f>
        <v>2023</v>
      </c>
      <c r="C13" t="s">
        <v>8</v>
      </c>
      <c r="D13" t="str">
        <f>LOWER(TEXT(CatchLog[[#This Row],[datetime]],"dddd"))</f>
        <v>friday</v>
      </c>
      <c r="E13" s="1">
        <v>45093.697916666664</v>
      </c>
      <c r="F13" s="1" t="s">
        <v>25</v>
      </c>
      <c r="G13" s="1" t="b">
        <v>1</v>
      </c>
      <c r="H13">
        <v>16</v>
      </c>
      <c r="I13">
        <v>7</v>
      </c>
      <c r="K13">
        <f>ROUND(H13*IFERROR(INDEX(Weighins[daily_wt_per_inch],MATCH(P13,Weighins[weigh_date],0)),IFERROR(INDEX(Trips[trip_wt_per_inch],MATCH(O13,Trips[trip],0)),$S$16)),2)</f>
        <v>1.38</v>
      </c>
      <c r="O13" s="9">
        <f>DATE(YEAR(CatchLog[[#This Row],[datetime]]),MONTH(CatchLog[[#This Row],[datetime]]),1)</f>
        <v>45078</v>
      </c>
      <c r="P13" s="10">
        <v>45092</v>
      </c>
      <c r="R13" s="9">
        <v>45809</v>
      </c>
      <c r="S13" s="11">
        <f>SUMIFS(Weighins[daily_wt_lbs],Weighins[trip],R13)</f>
        <v>19.490000000000002</v>
      </c>
      <c r="T13" s="5">
        <f>SUMIFS($H$2:$H$1000,$O$2:$O$1000,R13)</f>
        <v>175.75</v>
      </c>
      <c r="U13" s="6">
        <f>IF(S13&gt;0,S13/T13,NA())</f>
        <v>0.11089615931721196</v>
      </c>
    </row>
    <row r="14" spans="1:22" x14ac:dyDescent="0.2">
      <c r="A14">
        <f t="shared" si="0"/>
        <v>13</v>
      </c>
      <c r="B14">
        <f>YEAR(CatchLog[[#This Row],[datetime]])</f>
        <v>2023</v>
      </c>
      <c r="C14" t="s">
        <v>7</v>
      </c>
      <c r="D14" t="str">
        <f>LOWER(TEXT(CatchLog[[#This Row],[datetime]],"dddd"))</f>
        <v>friday</v>
      </c>
      <c r="E14" s="1">
        <v>45093.708333333336</v>
      </c>
      <c r="F14" s="1" t="s">
        <v>25</v>
      </c>
      <c r="G14" s="1" t="b">
        <v>1</v>
      </c>
      <c r="H14">
        <v>15</v>
      </c>
      <c r="I14">
        <v>11</v>
      </c>
      <c r="K14">
        <f>ROUND(H14*IFERROR(INDEX(Weighins[daily_wt_per_inch],MATCH(P14,Weighins[weigh_date],0)),IFERROR(INDEX(Trips[trip_wt_per_inch],MATCH(O14,Trips[trip],0)),$S$16)),2)</f>
        <v>1.29</v>
      </c>
      <c r="O14" s="9">
        <f>DATE(YEAR(CatchLog[[#This Row],[datetime]]),MONTH(CatchLog[[#This Row],[datetime]]),1)</f>
        <v>45078</v>
      </c>
      <c r="P14" s="10">
        <v>45092</v>
      </c>
    </row>
    <row r="15" spans="1:22" x14ac:dyDescent="0.2">
      <c r="A15">
        <f t="shared" si="0"/>
        <v>14</v>
      </c>
      <c r="B15">
        <f>YEAR(CatchLog[[#This Row],[datetime]])</f>
        <v>2023</v>
      </c>
      <c r="C15" t="s">
        <v>7</v>
      </c>
      <c r="D15" t="str">
        <f>LOWER(TEXT(CatchLog[[#This Row],[datetime]],"dddd"))</f>
        <v>friday</v>
      </c>
      <c r="E15" s="1">
        <v>45093.614583333336</v>
      </c>
      <c r="F15" s="1" t="s">
        <v>25</v>
      </c>
      <c r="G15" s="1" t="b">
        <v>1</v>
      </c>
      <c r="H15">
        <v>14</v>
      </c>
      <c r="I15">
        <v>9</v>
      </c>
      <c r="K15">
        <f>ROUND(H15*IFERROR(INDEX(Weighins[daily_wt_per_inch],MATCH(P15,Weighins[weigh_date],0)),IFERROR(INDEX(Trips[trip_wt_per_inch],MATCH(O15,Trips[trip],0)),$S$16)),2)</f>
        <v>1.2</v>
      </c>
      <c r="O15" s="9">
        <f>DATE(YEAR(CatchLog[[#This Row],[datetime]]),MONTH(CatchLog[[#This Row],[datetime]]),1)</f>
        <v>45078</v>
      </c>
      <c r="P15" s="10">
        <v>45092</v>
      </c>
    </row>
    <row r="16" spans="1:22" x14ac:dyDescent="0.2">
      <c r="A16">
        <f t="shared" si="0"/>
        <v>15</v>
      </c>
      <c r="B16">
        <f>YEAR(CatchLog[[#This Row],[datetime]])</f>
        <v>2023</v>
      </c>
      <c r="C16" t="s">
        <v>7</v>
      </c>
      <c r="D16" t="str">
        <f>LOWER(TEXT(CatchLog[[#This Row],[datetime]],"dddd"))</f>
        <v>friday</v>
      </c>
      <c r="E16" s="1">
        <v>45093.625</v>
      </c>
      <c r="F16" s="1" t="s">
        <v>25</v>
      </c>
      <c r="G16" s="1" t="b">
        <v>1</v>
      </c>
      <c r="H16">
        <v>16</v>
      </c>
      <c r="I16">
        <v>8.5</v>
      </c>
      <c r="K16">
        <f>ROUND(H16*IFERROR(INDEX(Weighins[daily_wt_per_inch],MATCH(P16,Weighins[weigh_date],0)),IFERROR(INDEX(Trips[trip_wt_per_inch],MATCH(O16,Trips[trip],0)),$S$16)),2)</f>
        <v>1.38</v>
      </c>
      <c r="O16" s="9">
        <f>DATE(YEAR(CatchLog[[#This Row],[datetime]]),MONTH(CatchLog[[#This Row],[datetime]]),1)</f>
        <v>45078</v>
      </c>
      <c r="P16" s="10">
        <v>45092</v>
      </c>
      <c r="R16" s="7" t="s">
        <v>38</v>
      </c>
      <c r="S16" s="8">
        <f>SUM(Weighins[daily_wt_lbs])/SUMIFS(Weighins[day_inches],Weighins[daily_wt_lbs],"&gt;0")</f>
        <v>9.2116850127011013E-2</v>
      </c>
    </row>
    <row r="17" spans="1:16" x14ac:dyDescent="0.2">
      <c r="A17">
        <f t="shared" si="0"/>
        <v>16</v>
      </c>
      <c r="B17">
        <f>YEAR(CatchLog[[#This Row],[datetime]])</f>
        <v>2023</v>
      </c>
      <c r="C17" t="s">
        <v>8</v>
      </c>
      <c r="D17" t="str">
        <f>LOWER(TEXT(CatchLog[[#This Row],[datetime]],"dddd"))</f>
        <v>friday</v>
      </c>
      <c r="E17" s="1">
        <v>45093.739583333336</v>
      </c>
      <c r="F17" s="1" t="s">
        <v>25</v>
      </c>
      <c r="G17" s="1" t="b">
        <v>1</v>
      </c>
      <c r="H17">
        <v>14</v>
      </c>
      <c r="I17">
        <v>12</v>
      </c>
      <c r="K17">
        <f>ROUND(H17*IFERROR(INDEX(Weighins[daily_wt_per_inch],MATCH(P17,Weighins[weigh_date],0)),IFERROR(INDEX(Trips[trip_wt_per_inch],MATCH(O17,Trips[trip],0)),$S$16)),2)</f>
        <v>1.2</v>
      </c>
      <c r="O17" s="9">
        <f>DATE(YEAR(CatchLog[[#This Row],[datetime]]),MONTH(CatchLog[[#This Row],[datetime]]),1)</f>
        <v>45078</v>
      </c>
      <c r="P17" s="10">
        <v>45092</v>
      </c>
    </row>
    <row r="18" spans="1:16" x14ac:dyDescent="0.2">
      <c r="A18">
        <f t="shared" si="0"/>
        <v>17</v>
      </c>
      <c r="B18">
        <f>YEAR(CatchLog[[#This Row],[datetime]])</f>
        <v>2023</v>
      </c>
      <c r="C18" t="s">
        <v>6</v>
      </c>
      <c r="D18" t="str">
        <f>LOWER(TEXT(CatchLog[[#This Row],[datetime]],"dddd"))</f>
        <v>saturday</v>
      </c>
      <c r="E18" s="1">
        <v>45094.354166666664</v>
      </c>
      <c r="F18" s="1" t="s">
        <v>25</v>
      </c>
      <c r="G18" s="1" t="b">
        <v>1</v>
      </c>
      <c r="H18">
        <v>17</v>
      </c>
      <c r="I18">
        <v>10</v>
      </c>
      <c r="J18" t="s">
        <v>12</v>
      </c>
      <c r="K18">
        <f>ROUND(H18*IFERROR(INDEX(Weighins[daily_wt_per_inch],MATCH(P18,Weighins[weigh_date],0)),IFERROR(INDEX(Trips[trip_wt_per_inch],MATCH(O18,Trips[trip],0)),$S$16)),2)</f>
        <v>1.35</v>
      </c>
      <c r="L18" t="s">
        <v>15</v>
      </c>
      <c r="O18" s="9">
        <f>DATE(YEAR(CatchLog[[#This Row],[datetime]]),MONTH(CatchLog[[#This Row],[datetime]]),1)</f>
        <v>45078</v>
      </c>
      <c r="P18" s="10">
        <f>INT(CatchLog[[#This Row],[datetime]])</f>
        <v>45094</v>
      </c>
    </row>
    <row r="19" spans="1:16" x14ac:dyDescent="0.2">
      <c r="A19">
        <f t="shared" si="0"/>
        <v>18</v>
      </c>
      <c r="B19">
        <f>YEAR(CatchLog[[#This Row],[datetime]])</f>
        <v>2023</v>
      </c>
      <c r="C19" t="s">
        <v>7</v>
      </c>
      <c r="D19" t="str">
        <f>LOWER(TEXT(CatchLog[[#This Row],[datetime]],"dddd"))</f>
        <v>saturday</v>
      </c>
      <c r="E19" s="1">
        <v>45094.363194444442</v>
      </c>
      <c r="F19" s="1" t="s">
        <v>25</v>
      </c>
      <c r="G19" s="1" t="b">
        <v>1</v>
      </c>
      <c r="H19">
        <v>17.75</v>
      </c>
      <c r="I19">
        <v>9</v>
      </c>
      <c r="J19" t="s">
        <v>13</v>
      </c>
      <c r="K19">
        <f>ROUND(H19*IFERROR(INDEX(Weighins[daily_wt_per_inch],MATCH(P19,Weighins[weigh_date],0)),IFERROR(INDEX(Trips[trip_wt_per_inch],MATCH(O19,Trips[trip],0)),$S$16)),2)</f>
        <v>1.41</v>
      </c>
      <c r="L19" t="s">
        <v>15</v>
      </c>
      <c r="O19" s="9">
        <f>DATE(YEAR(CatchLog[[#This Row],[datetime]]),MONTH(CatchLog[[#This Row],[datetime]]),1)</f>
        <v>45078</v>
      </c>
      <c r="P19" s="10">
        <f>INT(CatchLog[[#This Row],[datetime]])</f>
        <v>45094</v>
      </c>
    </row>
    <row r="20" spans="1:16" x14ac:dyDescent="0.2">
      <c r="A20">
        <f t="shared" si="0"/>
        <v>19</v>
      </c>
      <c r="B20">
        <f>YEAR(CatchLog[[#This Row],[datetime]])</f>
        <v>2023</v>
      </c>
      <c r="C20" t="s">
        <v>8</v>
      </c>
      <c r="D20" t="str">
        <f>LOWER(TEXT(CatchLog[[#This Row],[datetime]],"dddd"))</f>
        <v>saturday</v>
      </c>
      <c r="E20" s="1">
        <v>45094.451388888891</v>
      </c>
      <c r="F20" s="1" t="s">
        <v>25</v>
      </c>
      <c r="G20" s="1" t="b">
        <v>1</v>
      </c>
      <c r="H20">
        <v>16.5</v>
      </c>
      <c r="I20">
        <v>13</v>
      </c>
      <c r="J20" t="s">
        <v>13</v>
      </c>
      <c r="K20">
        <f>ROUND(H20*IFERROR(INDEX(Weighins[daily_wt_per_inch],MATCH(P20,Weighins[weigh_date],0)),IFERROR(INDEX(Trips[trip_wt_per_inch],MATCH(O20,Trips[trip],0)),$S$16)),2)</f>
        <v>1.31</v>
      </c>
      <c r="L20" t="s">
        <v>15</v>
      </c>
      <c r="O20" s="9">
        <f>DATE(YEAR(CatchLog[[#This Row],[datetime]]),MONTH(CatchLog[[#This Row],[datetime]]),1)</f>
        <v>45078</v>
      </c>
      <c r="P20" s="10">
        <f>INT(CatchLog[[#This Row],[datetime]])</f>
        <v>45094</v>
      </c>
    </row>
    <row r="21" spans="1:16" x14ac:dyDescent="0.2">
      <c r="A21">
        <f t="shared" si="0"/>
        <v>20</v>
      </c>
      <c r="B21">
        <f>YEAR(CatchLog[[#This Row],[datetime]])</f>
        <v>2023</v>
      </c>
      <c r="C21" t="s">
        <v>8</v>
      </c>
      <c r="D21" t="str">
        <f>LOWER(TEXT(CatchLog[[#This Row],[datetime]],"dddd"))</f>
        <v>saturday</v>
      </c>
      <c r="E21" s="1">
        <v>45094.48541666667</v>
      </c>
      <c r="F21" s="1" t="s">
        <v>25</v>
      </c>
      <c r="G21" s="1" t="b">
        <v>1</v>
      </c>
      <c r="H21">
        <v>18.75</v>
      </c>
      <c r="I21">
        <v>9</v>
      </c>
      <c r="J21" t="s">
        <v>13</v>
      </c>
      <c r="K21">
        <f>ROUND(H21*IFERROR(INDEX(Weighins[daily_wt_per_inch],MATCH(P21,Weighins[weigh_date],0)),IFERROR(INDEX(Trips[trip_wt_per_inch],MATCH(O21,Trips[trip],0)),$S$16)),2)</f>
        <v>1.49</v>
      </c>
      <c r="L21" t="s">
        <v>16</v>
      </c>
      <c r="O21" s="9">
        <f>DATE(YEAR(CatchLog[[#This Row],[datetime]]),MONTH(CatchLog[[#This Row],[datetime]]),1)</f>
        <v>45078</v>
      </c>
      <c r="P21" s="10">
        <f>INT(CatchLog[[#This Row],[datetime]])</f>
        <v>45094</v>
      </c>
    </row>
    <row r="22" spans="1:16" x14ac:dyDescent="0.2">
      <c r="A22">
        <f t="shared" si="0"/>
        <v>21</v>
      </c>
      <c r="B22">
        <f>YEAR(CatchLog[[#This Row],[datetime]])</f>
        <v>2023</v>
      </c>
      <c r="C22" t="s">
        <v>7</v>
      </c>
      <c r="D22" t="str">
        <f>LOWER(TEXT(CatchLog[[#This Row],[datetime]],"dddd"))</f>
        <v>saturday</v>
      </c>
      <c r="E22" s="1">
        <v>45094.502083333333</v>
      </c>
      <c r="F22" s="1" t="s">
        <v>25</v>
      </c>
      <c r="G22" s="1" t="b">
        <v>1</v>
      </c>
      <c r="H22">
        <v>15</v>
      </c>
      <c r="I22">
        <v>9</v>
      </c>
      <c r="J22" t="s">
        <v>13</v>
      </c>
      <c r="K22">
        <f>ROUND(H22*IFERROR(INDEX(Weighins[daily_wt_per_inch],MATCH(P22,Weighins[weigh_date],0)),IFERROR(INDEX(Trips[trip_wt_per_inch],MATCH(O22,Trips[trip],0)),$S$16)),2)</f>
        <v>1.2</v>
      </c>
      <c r="L22" t="s">
        <v>16</v>
      </c>
      <c r="O22" s="9">
        <f>DATE(YEAR(CatchLog[[#This Row],[datetime]]),MONTH(CatchLog[[#This Row],[datetime]]),1)</f>
        <v>45078</v>
      </c>
      <c r="P22" s="10">
        <f>INT(CatchLog[[#This Row],[datetime]])</f>
        <v>45094</v>
      </c>
    </row>
    <row r="23" spans="1:16" x14ac:dyDescent="0.2">
      <c r="A23">
        <f t="shared" si="0"/>
        <v>22</v>
      </c>
      <c r="B23">
        <f>YEAR(CatchLog[[#This Row],[datetime]])</f>
        <v>2023</v>
      </c>
      <c r="C23" t="s">
        <v>9</v>
      </c>
      <c r="D23" t="str">
        <f>LOWER(TEXT(CatchLog[[#This Row],[datetime]],"dddd"))</f>
        <v>saturday</v>
      </c>
      <c r="E23" s="1">
        <v>45094.520833333336</v>
      </c>
      <c r="F23" s="1" t="s">
        <v>25</v>
      </c>
      <c r="G23" s="1" t="b">
        <v>1</v>
      </c>
      <c r="H23">
        <v>14.5</v>
      </c>
      <c r="I23">
        <v>10</v>
      </c>
      <c r="J23" t="s">
        <v>13</v>
      </c>
      <c r="K23">
        <f>ROUND(H23*IFERROR(INDEX(Weighins[daily_wt_per_inch],MATCH(P23,Weighins[weigh_date],0)),IFERROR(INDEX(Trips[trip_wt_per_inch],MATCH(O23,Trips[trip],0)),$S$16)),2)</f>
        <v>1.1599999999999999</v>
      </c>
      <c r="L23" t="s">
        <v>16</v>
      </c>
      <c r="O23" s="9">
        <f>DATE(YEAR(CatchLog[[#This Row],[datetime]]),MONTH(CatchLog[[#This Row],[datetime]]),1)</f>
        <v>45078</v>
      </c>
      <c r="P23" s="10">
        <f>INT(CatchLog[[#This Row],[datetime]])</f>
        <v>45094</v>
      </c>
    </row>
    <row r="24" spans="1:16" x14ac:dyDescent="0.2">
      <c r="A24">
        <f t="shared" si="0"/>
        <v>23</v>
      </c>
      <c r="B24">
        <f>YEAR(CatchLog[[#This Row],[datetime]])</f>
        <v>2023</v>
      </c>
      <c r="C24" t="s">
        <v>9</v>
      </c>
      <c r="D24" t="str">
        <f>LOWER(TEXT(CatchLog[[#This Row],[datetime]],"dddd"))</f>
        <v>saturday</v>
      </c>
      <c r="E24" s="1">
        <v>45094.527777777781</v>
      </c>
      <c r="F24" s="1" t="s">
        <v>25</v>
      </c>
      <c r="G24" s="1" t="b">
        <v>1</v>
      </c>
      <c r="H24">
        <v>15.5</v>
      </c>
      <c r="I24">
        <v>12</v>
      </c>
      <c r="J24" t="s">
        <v>13</v>
      </c>
      <c r="K24">
        <f>ROUND(H24*IFERROR(INDEX(Weighins[daily_wt_per_inch],MATCH(P24,Weighins[weigh_date],0)),IFERROR(INDEX(Trips[trip_wt_per_inch],MATCH(O24,Trips[trip],0)),$S$16)),2)</f>
        <v>1.24</v>
      </c>
      <c r="L24" t="s">
        <v>16</v>
      </c>
      <c r="O24" s="9">
        <f>DATE(YEAR(CatchLog[[#This Row],[datetime]]),MONTH(CatchLog[[#This Row],[datetime]]),1)</f>
        <v>45078</v>
      </c>
      <c r="P24" s="10">
        <f>INT(CatchLog[[#This Row],[datetime]])</f>
        <v>45094</v>
      </c>
    </row>
    <row r="25" spans="1:16" x14ac:dyDescent="0.2">
      <c r="A25">
        <f t="shared" si="0"/>
        <v>24</v>
      </c>
      <c r="B25">
        <f>YEAR(CatchLog[[#This Row],[datetime]])</f>
        <v>2023</v>
      </c>
      <c r="C25" t="s">
        <v>9</v>
      </c>
      <c r="D25" t="str">
        <f>LOWER(TEXT(CatchLog[[#This Row],[datetime]],"dddd"))</f>
        <v>saturday</v>
      </c>
      <c r="E25" s="1">
        <v>45094.541666666664</v>
      </c>
      <c r="F25" s="1" t="s">
        <v>25</v>
      </c>
      <c r="G25" s="1" t="b">
        <v>1</v>
      </c>
      <c r="H25">
        <v>14.5</v>
      </c>
      <c r="I25">
        <v>12</v>
      </c>
      <c r="J25" t="s">
        <v>13</v>
      </c>
      <c r="K25">
        <f>ROUND(H25*IFERROR(INDEX(Weighins[daily_wt_per_inch],MATCH(P25,Weighins[weigh_date],0)),IFERROR(INDEX(Trips[trip_wt_per_inch],MATCH(O25,Trips[trip],0)),$S$16)),2)</f>
        <v>1.1599999999999999</v>
      </c>
      <c r="L25" t="s">
        <v>16</v>
      </c>
      <c r="O25" s="9">
        <f>DATE(YEAR(CatchLog[[#This Row],[datetime]]),MONTH(CatchLog[[#This Row],[datetime]]),1)</f>
        <v>45078</v>
      </c>
      <c r="P25" s="10">
        <f>INT(CatchLog[[#This Row],[datetime]])</f>
        <v>45094</v>
      </c>
    </row>
    <row r="26" spans="1:16" x14ac:dyDescent="0.2">
      <c r="A26">
        <f t="shared" si="0"/>
        <v>25</v>
      </c>
      <c r="B26">
        <f>YEAR(CatchLog[[#This Row],[datetime]])</f>
        <v>2023</v>
      </c>
      <c r="C26" t="s">
        <v>6</v>
      </c>
      <c r="D26" t="str">
        <f>LOWER(TEXT(CatchLog[[#This Row],[datetime]],"dddd"))</f>
        <v>saturday</v>
      </c>
      <c r="E26" s="1">
        <v>45094.552083333336</v>
      </c>
      <c r="F26" s="1" t="s">
        <v>25</v>
      </c>
      <c r="G26" s="1" t="b">
        <v>1</v>
      </c>
      <c r="H26">
        <v>14.5</v>
      </c>
      <c r="I26">
        <v>12</v>
      </c>
      <c r="J26" t="s">
        <v>13</v>
      </c>
      <c r="K26">
        <f>ROUND(H26*IFERROR(INDEX(Weighins[daily_wt_per_inch],MATCH(P26,Weighins[weigh_date],0)),IFERROR(INDEX(Trips[trip_wt_per_inch],MATCH(O26,Trips[trip],0)),$S$16)),2)</f>
        <v>1.1599999999999999</v>
      </c>
      <c r="L26" t="s">
        <v>16</v>
      </c>
      <c r="O26" s="9">
        <f>DATE(YEAR(CatchLog[[#This Row],[datetime]]),MONTH(CatchLog[[#This Row],[datetime]]),1)</f>
        <v>45078</v>
      </c>
      <c r="P26" s="10">
        <f>INT(CatchLog[[#This Row],[datetime]])</f>
        <v>45094</v>
      </c>
    </row>
    <row r="27" spans="1:16" x14ac:dyDescent="0.2">
      <c r="A27">
        <f t="shared" si="0"/>
        <v>26</v>
      </c>
      <c r="B27">
        <f>YEAR(CatchLog[[#This Row],[datetime]])</f>
        <v>2023</v>
      </c>
      <c r="C27" t="s">
        <v>9</v>
      </c>
      <c r="D27" t="str">
        <f>LOWER(TEXT(CatchLog[[#This Row],[datetime]],"dddd"))</f>
        <v>saturday</v>
      </c>
      <c r="E27" s="1">
        <v>45094.559027777781</v>
      </c>
      <c r="F27" s="1" t="s">
        <v>25</v>
      </c>
      <c r="G27" s="1" t="b">
        <v>1</v>
      </c>
      <c r="H27">
        <v>16.5</v>
      </c>
      <c r="I27">
        <v>11.5</v>
      </c>
      <c r="J27" t="s">
        <v>13</v>
      </c>
      <c r="K27">
        <f>ROUND(H27*IFERROR(INDEX(Weighins[daily_wt_per_inch],MATCH(P27,Weighins[weigh_date],0)),IFERROR(INDEX(Trips[trip_wt_per_inch],MATCH(O27,Trips[trip],0)),$S$16)),2)</f>
        <v>1.31</v>
      </c>
      <c r="L27" t="s">
        <v>16</v>
      </c>
      <c r="O27" s="9">
        <f>DATE(YEAR(CatchLog[[#This Row],[datetime]]),MONTH(CatchLog[[#This Row],[datetime]]),1)</f>
        <v>45078</v>
      </c>
      <c r="P27" s="10">
        <f>INT(CatchLog[[#This Row],[datetime]])</f>
        <v>45094</v>
      </c>
    </row>
    <row r="28" spans="1:16" x14ac:dyDescent="0.2">
      <c r="A28">
        <f t="shared" si="0"/>
        <v>27</v>
      </c>
      <c r="B28">
        <f>YEAR(CatchLog[[#This Row],[datetime]])</f>
        <v>2023</v>
      </c>
      <c r="C28" t="s">
        <v>7</v>
      </c>
      <c r="D28" t="str">
        <f>LOWER(TEXT(CatchLog[[#This Row],[datetime]],"dddd"))</f>
        <v>saturday</v>
      </c>
      <c r="E28" s="1">
        <v>45094.5625</v>
      </c>
      <c r="F28" s="1" t="s">
        <v>25</v>
      </c>
      <c r="G28" s="1" t="b">
        <v>1</v>
      </c>
      <c r="H28">
        <v>16</v>
      </c>
      <c r="I28">
        <v>10</v>
      </c>
      <c r="J28" t="s">
        <v>13</v>
      </c>
      <c r="K28">
        <f>ROUND(H28*IFERROR(INDEX(Weighins[daily_wt_per_inch],MATCH(P28,Weighins[weigh_date],0)),IFERROR(INDEX(Trips[trip_wt_per_inch],MATCH(O28,Trips[trip],0)),$S$16)),2)</f>
        <v>1.27</v>
      </c>
      <c r="L28" t="s">
        <v>16</v>
      </c>
      <c r="O28" s="9">
        <f>DATE(YEAR(CatchLog[[#This Row],[datetime]]),MONTH(CatchLog[[#This Row],[datetime]]),1)</f>
        <v>45078</v>
      </c>
      <c r="P28" s="10">
        <f>INT(CatchLog[[#This Row],[datetime]])</f>
        <v>45094</v>
      </c>
    </row>
    <row r="29" spans="1:16" x14ac:dyDescent="0.2">
      <c r="A29">
        <f t="shared" si="0"/>
        <v>28</v>
      </c>
      <c r="B29">
        <f>YEAR(CatchLog[[#This Row],[datetime]])</f>
        <v>2023</v>
      </c>
      <c r="C29" t="s">
        <v>8</v>
      </c>
      <c r="D29" t="str">
        <f>LOWER(TEXT(CatchLog[[#This Row],[datetime]],"dddd"))</f>
        <v>saturday</v>
      </c>
      <c r="E29" s="1">
        <v>45094.583333333336</v>
      </c>
      <c r="F29" s="1" t="s">
        <v>25</v>
      </c>
      <c r="G29" s="1" t="b">
        <v>1</v>
      </c>
      <c r="H29">
        <v>15.5</v>
      </c>
      <c r="I29">
        <v>20</v>
      </c>
      <c r="J29" t="s">
        <v>13</v>
      </c>
      <c r="K29">
        <f>ROUND(H29*IFERROR(INDEX(Weighins[daily_wt_per_inch],MATCH(P29,Weighins[weigh_date],0)),IFERROR(INDEX(Trips[trip_wt_per_inch],MATCH(O29,Trips[trip],0)),$S$16)),2)</f>
        <v>1.24</v>
      </c>
      <c r="L29" t="s">
        <v>21</v>
      </c>
      <c r="O29" s="9">
        <f>DATE(YEAR(CatchLog[[#This Row],[datetime]]),MONTH(CatchLog[[#This Row],[datetime]]),1)</f>
        <v>45078</v>
      </c>
      <c r="P29" s="10">
        <f>INT(CatchLog[[#This Row],[datetime]])</f>
        <v>45094</v>
      </c>
    </row>
    <row r="30" spans="1:16" x14ac:dyDescent="0.2">
      <c r="A30">
        <f t="shared" si="0"/>
        <v>29</v>
      </c>
      <c r="B30">
        <f>YEAR(CatchLog[[#This Row],[datetime]])</f>
        <v>2023</v>
      </c>
      <c r="C30" t="s">
        <v>9</v>
      </c>
      <c r="D30" t="str">
        <f>LOWER(TEXT(CatchLog[[#This Row],[datetime]],"dddd"))</f>
        <v>saturday</v>
      </c>
      <c r="E30" s="1">
        <v>45094.625</v>
      </c>
      <c r="F30" s="1" t="s">
        <v>25</v>
      </c>
      <c r="G30" s="1" t="b">
        <v>1</v>
      </c>
      <c r="H30">
        <v>13.5</v>
      </c>
      <c r="I30">
        <v>19</v>
      </c>
      <c r="J30" t="s">
        <v>13</v>
      </c>
      <c r="K30">
        <f>ROUND(H30*IFERROR(INDEX(Weighins[daily_wt_per_inch],MATCH(P30,Weighins[weigh_date],0)),IFERROR(INDEX(Trips[trip_wt_per_inch],MATCH(O30,Trips[trip],0)),$S$16)),2)</f>
        <v>1.08</v>
      </c>
      <c r="L30" t="s">
        <v>17</v>
      </c>
      <c r="O30" s="9">
        <f>DATE(YEAR(CatchLog[[#This Row],[datetime]]),MONTH(CatchLog[[#This Row],[datetime]]),1)</f>
        <v>45078</v>
      </c>
      <c r="P30" s="10">
        <f>INT(CatchLog[[#This Row],[datetime]])</f>
        <v>45094</v>
      </c>
    </row>
    <row r="31" spans="1:16" x14ac:dyDescent="0.2">
      <c r="A31">
        <f t="shared" si="0"/>
        <v>30</v>
      </c>
      <c r="B31">
        <f>YEAR(CatchLog[[#This Row],[datetime]])</f>
        <v>2023</v>
      </c>
      <c r="C31" t="s">
        <v>6</v>
      </c>
      <c r="D31" t="str">
        <f>LOWER(TEXT(CatchLog[[#This Row],[datetime]],"dddd"))</f>
        <v>saturday</v>
      </c>
      <c r="E31" s="1">
        <v>45094.65625</v>
      </c>
      <c r="F31" s="1" t="s">
        <v>25</v>
      </c>
      <c r="G31" s="1" t="b">
        <v>1</v>
      </c>
      <c r="H31">
        <v>13.5</v>
      </c>
      <c r="I31">
        <v>12</v>
      </c>
      <c r="J31" t="s">
        <v>12</v>
      </c>
      <c r="K31">
        <f>ROUND(H31*IFERROR(INDEX(Weighins[daily_wt_per_inch],MATCH(P31,Weighins[weigh_date],0)),IFERROR(INDEX(Trips[trip_wt_per_inch],MATCH(O31,Trips[trip],0)),$S$16)),2)</f>
        <v>1.08</v>
      </c>
      <c r="L31" t="s">
        <v>17</v>
      </c>
      <c r="O31" s="9">
        <f>DATE(YEAR(CatchLog[[#This Row],[datetime]]),MONTH(CatchLog[[#This Row],[datetime]]),1)</f>
        <v>45078</v>
      </c>
      <c r="P31" s="10">
        <f>INT(CatchLog[[#This Row],[datetime]])</f>
        <v>45094</v>
      </c>
    </row>
    <row r="32" spans="1:16" x14ac:dyDescent="0.2">
      <c r="A32">
        <f t="shared" si="0"/>
        <v>31</v>
      </c>
      <c r="B32">
        <f>YEAR(CatchLog[[#This Row],[datetime]])</f>
        <v>2023</v>
      </c>
      <c r="C32" t="s">
        <v>7</v>
      </c>
      <c r="D32" t="str">
        <f>LOWER(TEXT(CatchLog[[#This Row],[datetime]],"dddd"))</f>
        <v>saturday</v>
      </c>
      <c r="E32" s="1">
        <v>45094.65625</v>
      </c>
      <c r="F32" s="1" t="s">
        <v>25</v>
      </c>
      <c r="G32" s="1" t="b">
        <v>1</v>
      </c>
      <c r="H32">
        <v>17.25</v>
      </c>
      <c r="I32">
        <v>11</v>
      </c>
      <c r="J32" t="s">
        <v>13</v>
      </c>
      <c r="K32">
        <f>ROUND(H32*IFERROR(INDEX(Weighins[daily_wt_per_inch],MATCH(P32,Weighins[weigh_date],0)),IFERROR(INDEX(Trips[trip_wt_per_inch],MATCH(O32,Trips[trip],0)),$S$16)),2)</f>
        <v>1.37</v>
      </c>
      <c r="L32" t="s">
        <v>17</v>
      </c>
      <c r="O32" s="9">
        <f>DATE(YEAR(CatchLog[[#This Row],[datetime]]),MONTH(CatchLog[[#This Row],[datetime]]),1)</f>
        <v>45078</v>
      </c>
      <c r="P32" s="10">
        <f>INT(CatchLog[[#This Row],[datetime]])</f>
        <v>45094</v>
      </c>
    </row>
    <row r="33" spans="1:16" x14ac:dyDescent="0.2">
      <c r="A33">
        <f t="shared" si="0"/>
        <v>32</v>
      </c>
      <c r="B33">
        <f>YEAR(CatchLog[[#This Row],[datetime]])</f>
        <v>2023</v>
      </c>
      <c r="C33" t="s">
        <v>6</v>
      </c>
      <c r="D33" t="str">
        <f>LOWER(TEXT(CatchLog[[#This Row],[datetime]],"dddd"))</f>
        <v>saturday</v>
      </c>
      <c r="E33" s="1">
        <v>45094.684027777781</v>
      </c>
      <c r="F33" s="1" t="s">
        <v>25</v>
      </c>
      <c r="G33" s="1" t="b">
        <v>1</v>
      </c>
      <c r="H33">
        <v>16</v>
      </c>
      <c r="I33">
        <v>12</v>
      </c>
      <c r="J33" t="s">
        <v>12</v>
      </c>
      <c r="K33">
        <f>ROUND(H33*IFERROR(INDEX(Weighins[daily_wt_per_inch],MATCH(P33,Weighins[weigh_date],0)),IFERROR(INDEX(Trips[trip_wt_per_inch],MATCH(O33,Trips[trip],0)),$S$16)),2)</f>
        <v>1.27</v>
      </c>
      <c r="L33" t="s">
        <v>17</v>
      </c>
      <c r="O33" s="9">
        <f>DATE(YEAR(CatchLog[[#This Row],[datetime]]),MONTH(CatchLog[[#This Row],[datetime]]),1)</f>
        <v>45078</v>
      </c>
      <c r="P33" s="10">
        <f>INT(CatchLog[[#This Row],[datetime]])</f>
        <v>45094</v>
      </c>
    </row>
    <row r="34" spans="1:16" x14ac:dyDescent="0.2">
      <c r="A34">
        <f t="shared" ref="A34:A65" si="1">ROW()-1</f>
        <v>33</v>
      </c>
      <c r="B34">
        <f>YEAR(CatchLog[[#This Row],[datetime]])</f>
        <v>2024</v>
      </c>
      <c r="C34" t="s">
        <v>7</v>
      </c>
      <c r="D34" t="str">
        <f>LOWER(TEXT(CatchLog[[#This Row],[datetime]],"dddd"))</f>
        <v>friday</v>
      </c>
      <c r="E34" s="1">
        <v>45457.364583333336</v>
      </c>
      <c r="F34" s="1" t="s">
        <v>25</v>
      </c>
      <c r="G34" s="1" t="b">
        <v>1</v>
      </c>
      <c r="H34">
        <v>16</v>
      </c>
      <c r="I34">
        <v>11</v>
      </c>
      <c r="J34" t="s">
        <v>13</v>
      </c>
      <c r="K34">
        <f>ROUND(H34*IFERROR(INDEX(Weighins[daily_wt_per_inch],MATCH(P34,Weighins[weigh_date],0)),IFERROR(INDEX(Trips[trip_wt_per_inch],MATCH(O34,Trips[trip],0)),$S$16)),2)</f>
        <v>1.56</v>
      </c>
      <c r="L34" t="s">
        <v>21</v>
      </c>
      <c r="O34" s="9">
        <f>DATE(YEAR(CatchLog[[#This Row],[datetime]]),MONTH(CatchLog[[#This Row],[datetime]]),1)</f>
        <v>45444</v>
      </c>
      <c r="P34" s="10">
        <f>INT(CatchLog[[#This Row],[datetime]])</f>
        <v>45457</v>
      </c>
    </row>
    <row r="35" spans="1:16" x14ac:dyDescent="0.2">
      <c r="A35">
        <f t="shared" si="1"/>
        <v>34</v>
      </c>
      <c r="B35">
        <f>YEAR(CatchLog[[#This Row],[datetime]])</f>
        <v>2024</v>
      </c>
      <c r="C35" t="s">
        <v>7</v>
      </c>
      <c r="D35" t="str">
        <f>LOWER(TEXT(CatchLog[[#This Row],[datetime]],"dddd"))</f>
        <v>friday</v>
      </c>
      <c r="E35" s="1">
        <v>45457.368055555555</v>
      </c>
      <c r="F35" s="1" t="s">
        <v>25</v>
      </c>
      <c r="G35" s="1" t="b">
        <v>1</v>
      </c>
      <c r="H35">
        <v>17.5</v>
      </c>
      <c r="I35">
        <v>9.5</v>
      </c>
      <c r="J35" t="s">
        <v>13</v>
      </c>
      <c r="K35">
        <f>ROUND(H35*IFERROR(INDEX(Weighins[daily_wt_per_inch],MATCH(P35,Weighins[weigh_date],0)),IFERROR(INDEX(Trips[trip_wt_per_inch],MATCH(O35,Trips[trip],0)),$S$16)),2)</f>
        <v>1.71</v>
      </c>
      <c r="L35" t="s">
        <v>21</v>
      </c>
      <c r="O35" s="9">
        <f>DATE(YEAR(CatchLog[[#This Row],[datetime]]),MONTH(CatchLog[[#This Row],[datetime]]),1)</f>
        <v>45444</v>
      </c>
      <c r="P35" s="10">
        <f>INT(CatchLog[[#This Row],[datetime]])</f>
        <v>45457</v>
      </c>
    </row>
    <row r="36" spans="1:16" x14ac:dyDescent="0.2">
      <c r="A36">
        <f t="shared" si="1"/>
        <v>35</v>
      </c>
      <c r="B36">
        <f>YEAR(CatchLog[[#This Row],[datetime]])</f>
        <v>2024</v>
      </c>
      <c r="C36" t="s">
        <v>7</v>
      </c>
      <c r="D36" t="str">
        <f>LOWER(TEXT(CatchLog[[#This Row],[datetime]],"dddd"))</f>
        <v>friday</v>
      </c>
      <c r="E36" s="1">
        <v>45457.395833333336</v>
      </c>
      <c r="F36" s="1" t="s">
        <v>25</v>
      </c>
      <c r="G36" s="1" t="b">
        <v>1</v>
      </c>
      <c r="H36">
        <v>17</v>
      </c>
      <c r="I36">
        <v>9.5</v>
      </c>
      <c r="J36" t="s">
        <v>13</v>
      </c>
      <c r="K36">
        <f>ROUND(H36*IFERROR(INDEX(Weighins[daily_wt_per_inch],MATCH(P36,Weighins[weigh_date],0)),IFERROR(INDEX(Trips[trip_wt_per_inch],MATCH(O36,Trips[trip],0)),$S$16)),2)</f>
        <v>1.66</v>
      </c>
      <c r="L36" t="s">
        <v>21</v>
      </c>
      <c r="O36" s="9">
        <f>DATE(YEAR(CatchLog[[#This Row],[datetime]]),MONTH(CatchLog[[#This Row],[datetime]]),1)</f>
        <v>45444</v>
      </c>
      <c r="P36" s="10">
        <f>INT(CatchLog[[#This Row],[datetime]])</f>
        <v>45457</v>
      </c>
    </row>
    <row r="37" spans="1:16" x14ac:dyDescent="0.2">
      <c r="A37">
        <f t="shared" si="1"/>
        <v>36</v>
      </c>
      <c r="B37">
        <f>YEAR(CatchLog[[#This Row],[datetime]])</f>
        <v>2024</v>
      </c>
      <c r="C37" t="s">
        <v>9</v>
      </c>
      <c r="D37" t="str">
        <f>LOWER(TEXT(CatchLog[[#This Row],[datetime]],"dddd"))</f>
        <v>friday</v>
      </c>
      <c r="E37" s="1">
        <v>45457.396527777775</v>
      </c>
      <c r="F37" s="1" t="s">
        <v>25</v>
      </c>
      <c r="G37" s="1" t="b">
        <v>1</v>
      </c>
      <c r="H37">
        <v>17.5</v>
      </c>
      <c r="I37">
        <v>9</v>
      </c>
      <c r="J37" t="s">
        <v>13</v>
      </c>
      <c r="K37">
        <f>ROUND(H37*IFERROR(INDEX(Weighins[daily_wt_per_inch],MATCH(P37,Weighins[weigh_date],0)),IFERROR(INDEX(Trips[trip_wt_per_inch],MATCH(O37,Trips[trip],0)),$S$16)),2)</f>
        <v>1.71</v>
      </c>
      <c r="L37" t="s">
        <v>21</v>
      </c>
      <c r="O37" s="9">
        <f>DATE(YEAR(CatchLog[[#This Row],[datetime]]),MONTH(CatchLog[[#This Row],[datetime]]),1)</f>
        <v>45444</v>
      </c>
      <c r="P37" s="10">
        <f>INT(CatchLog[[#This Row],[datetime]])</f>
        <v>45457</v>
      </c>
    </row>
    <row r="38" spans="1:16" x14ac:dyDescent="0.2">
      <c r="A38">
        <f t="shared" si="1"/>
        <v>37</v>
      </c>
      <c r="B38">
        <f>YEAR(CatchLog[[#This Row],[datetime]])</f>
        <v>2024</v>
      </c>
      <c r="C38" t="s">
        <v>9</v>
      </c>
      <c r="D38" t="str">
        <f>LOWER(TEXT(CatchLog[[#This Row],[datetime]],"dddd"))</f>
        <v>friday</v>
      </c>
      <c r="E38" s="1">
        <v>45457.420138888891</v>
      </c>
      <c r="F38" s="1" t="s">
        <v>25</v>
      </c>
      <c r="G38" s="1" t="b">
        <v>1</v>
      </c>
      <c r="H38">
        <v>16</v>
      </c>
      <c r="I38">
        <v>11</v>
      </c>
      <c r="J38" t="s">
        <v>13</v>
      </c>
      <c r="K38">
        <f>ROUND(H38*IFERROR(INDEX(Weighins[daily_wt_per_inch],MATCH(P38,Weighins[weigh_date],0)),IFERROR(INDEX(Trips[trip_wt_per_inch],MATCH(O38,Trips[trip],0)),$S$16)),2)</f>
        <v>1.56</v>
      </c>
      <c r="L38" t="s">
        <v>21</v>
      </c>
      <c r="O38" s="9">
        <f>DATE(YEAR(CatchLog[[#This Row],[datetime]]),MONTH(CatchLog[[#This Row],[datetime]]),1)</f>
        <v>45444</v>
      </c>
      <c r="P38" s="10">
        <f>INT(CatchLog[[#This Row],[datetime]])</f>
        <v>45457</v>
      </c>
    </row>
    <row r="39" spans="1:16" x14ac:dyDescent="0.2">
      <c r="A39">
        <f t="shared" si="1"/>
        <v>38</v>
      </c>
      <c r="B39">
        <f>YEAR(CatchLog[[#This Row],[datetime]])</f>
        <v>2024</v>
      </c>
      <c r="C39" t="s">
        <v>8</v>
      </c>
      <c r="D39" t="str">
        <f>LOWER(TEXT(CatchLog[[#This Row],[datetime]],"dddd"))</f>
        <v>friday</v>
      </c>
      <c r="E39" s="1">
        <v>45457.42083333333</v>
      </c>
      <c r="F39" s="1" t="s">
        <v>25</v>
      </c>
      <c r="G39" s="1" t="b">
        <v>1</v>
      </c>
      <c r="H39">
        <v>18.25</v>
      </c>
      <c r="I39">
        <v>11</v>
      </c>
      <c r="J39" t="s">
        <v>13</v>
      </c>
      <c r="K39">
        <f>ROUND(H39*IFERROR(INDEX(Weighins[daily_wt_per_inch],MATCH(P39,Weighins[weigh_date],0)),IFERROR(INDEX(Trips[trip_wt_per_inch],MATCH(O39,Trips[trip],0)),$S$16)),2)</f>
        <v>1.78</v>
      </c>
      <c r="L39" t="s">
        <v>21</v>
      </c>
      <c r="O39" s="9">
        <f>DATE(YEAR(CatchLog[[#This Row],[datetime]]),MONTH(CatchLog[[#This Row],[datetime]]),1)</f>
        <v>45444</v>
      </c>
      <c r="P39" s="10">
        <f>INT(CatchLog[[#This Row],[datetime]])</f>
        <v>45457</v>
      </c>
    </row>
    <row r="40" spans="1:16" x14ac:dyDescent="0.2">
      <c r="A40">
        <f t="shared" si="1"/>
        <v>39</v>
      </c>
      <c r="B40">
        <f>YEAR(CatchLog[[#This Row],[datetime]])</f>
        <v>2024</v>
      </c>
      <c r="C40" t="s">
        <v>8</v>
      </c>
      <c r="D40" t="str">
        <f>LOWER(TEXT(CatchLog[[#This Row],[datetime]],"dddd"))</f>
        <v>friday</v>
      </c>
      <c r="E40" s="1">
        <v>45457.458333333336</v>
      </c>
      <c r="F40" s="1" t="s">
        <v>25</v>
      </c>
      <c r="G40" s="1" t="b">
        <v>1</v>
      </c>
      <c r="H40">
        <v>17.5</v>
      </c>
      <c r="I40">
        <v>8</v>
      </c>
      <c r="J40" t="s">
        <v>13</v>
      </c>
      <c r="K40">
        <f>ROUND(H40*IFERROR(INDEX(Weighins[daily_wt_per_inch],MATCH(P40,Weighins[weigh_date],0)),IFERROR(INDEX(Trips[trip_wt_per_inch],MATCH(O40,Trips[trip],0)),$S$16)),2)</f>
        <v>1.71</v>
      </c>
      <c r="L40" t="s">
        <v>21</v>
      </c>
      <c r="O40" s="9">
        <f>DATE(YEAR(CatchLog[[#This Row],[datetime]]),MONTH(CatchLog[[#This Row],[datetime]]),1)</f>
        <v>45444</v>
      </c>
      <c r="P40" s="10">
        <f>INT(CatchLog[[#This Row],[datetime]])</f>
        <v>45457</v>
      </c>
    </row>
    <row r="41" spans="1:16" x14ac:dyDescent="0.2">
      <c r="A41">
        <f t="shared" si="1"/>
        <v>40</v>
      </c>
      <c r="B41">
        <f>YEAR(CatchLog[[#This Row],[datetime]])</f>
        <v>2024</v>
      </c>
      <c r="C41" t="s">
        <v>7</v>
      </c>
      <c r="D41" t="str">
        <f>LOWER(TEXT(CatchLog[[#This Row],[datetime]],"dddd"))</f>
        <v>friday</v>
      </c>
      <c r="E41" s="1">
        <v>45457.459027777775</v>
      </c>
      <c r="F41" s="1" t="s">
        <v>25</v>
      </c>
      <c r="G41" s="1" t="b">
        <v>1</v>
      </c>
      <c r="H41">
        <v>17</v>
      </c>
      <c r="I41">
        <v>6.5</v>
      </c>
      <c r="J41" t="s">
        <v>13</v>
      </c>
      <c r="K41">
        <f>ROUND(H41*IFERROR(INDEX(Weighins[daily_wt_per_inch],MATCH(P41,Weighins[weigh_date],0)),IFERROR(INDEX(Trips[trip_wt_per_inch],MATCH(O41,Trips[trip],0)),$S$16)),2)</f>
        <v>1.66</v>
      </c>
      <c r="L41" t="s">
        <v>21</v>
      </c>
      <c r="O41" s="9">
        <f>DATE(YEAR(CatchLog[[#This Row],[datetime]]),MONTH(CatchLog[[#This Row],[datetime]]),1)</f>
        <v>45444</v>
      </c>
      <c r="P41" s="10">
        <f>INT(CatchLog[[#This Row],[datetime]])</f>
        <v>45457</v>
      </c>
    </row>
    <row r="42" spans="1:16" x14ac:dyDescent="0.2">
      <c r="A42">
        <f t="shared" si="1"/>
        <v>41</v>
      </c>
      <c r="B42">
        <f>YEAR(CatchLog[[#This Row],[datetime]])</f>
        <v>2024</v>
      </c>
      <c r="C42" t="s">
        <v>7</v>
      </c>
      <c r="D42" t="str">
        <f>LOWER(TEXT(CatchLog[[#This Row],[datetime]],"dddd"))</f>
        <v>friday</v>
      </c>
      <c r="E42" s="1">
        <v>45457.461805555555</v>
      </c>
      <c r="F42" s="1" t="s">
        <v>25</v>
      </c>
      <c r="G42" s="1" t="b">
        <v>1</v>
      </c>
      <c r="H42">
        <v>16.5</v>
      </c>
      <c r="I42">
        <v>10</v>
      </c>
      <c r="J42" t="s">
        <v>13</v>
      </c>
      <c r="K42">
        <f>ROUND(H42*IFERROR(INDEX(Weighins[daily_wt_per_inch],MATCH(P42,Weighins[weigh_date],0)),IFERROR(INDEX(Trips[trip_wt_per_inch],MATCH(O42,Trips[trip],0)),$S$16)),2)</f>
        <v>1.61</v>
      </c>
      <c r="L42" t="s">
        <v>21</v>
      </c>
      <c r="O42" s="9">
        <f>DATE(YEAR(CatchLog[[#This Row],[datetime]]),MONTH(CatchLog[[#This Row],[datetime]]),1)</f>
        <v>45444</v>
      </c>
      <c r="P42" s="10">
        <f>INT(CatchLog[[#This Row],[datetime]])</f>
        <v>45457</v>
      </c>
    </row>
    <row r="43" spans="1:16" x14ac:dyDescent="0.2">
      <c r="A43">
        <f t="shared" si="1"/>
        <v>42</v>
      </c>
      <c r="B43">
        <f>YEAR(CatchLog[[#This Row],[datetime]])</f>
        <v>2024</v>
      </c>
      <c r="C43" t="s">
        <v>8</v>
      </c>
      <c r="D43" t="str">
        <f>LOWER(TEXT(CatchLog[[#This Row],[datetime]],"dddd"))</f>
        <v>friday</v>
      </c>
      <c r="E43" s="1">
        <v>45457.486111111109</v>
      </c>
      <c r="F43" s="1" t="s">
        <v>25</v>
      </c>
      <c r="G43" s="1" t="b">
        <v>1</v>
      </c>
      <c r="H43">
        <v>16</v>
      </c>
      <c r="I43">
        <v>12.5</v>
      </c>
      <c r="J43" t="s">
        <v>13</v>
      </c>
      <c r="K43">
        <f>ROUND(H43*IFERROR(INDEX(Weighins[daily_wt_per_inch],MATCH(P43,Weighins[weigh_date],0)),IFERROR(INDEX(Trips[trip_wt_per_inch],MATCH(O43,Trips[trip],0)),$S$16)),2)</f>
        <v>1.56</v>
      </c>
      <c r="L43" t="s">
        <v>22</v>
      </c>
      <c r="O43" s="9">
        <f>DATE(YEAR(CatchLog[[#This Row],[datetime]]),MONTH(CatchLog[[#This Row],[datetime]]),1)</f>
        <v>45444</v>
      </c>
      <c r="P43" s="10">
        <f>INT(CatchLog[[#This Row],[datetime]])</f>
        <v>45457</v>
      </c>
    </row>
    <row r="44" spans="1:16" x14ac:dyDescent="0.2">
      <c r="A44">
        <f t="shared" si="1"/>
        <v>43</v>
      </c>
      <c r="B44">
        <f>YEAR(CatchLog[[#This Row],[datetime]])</f>
        <v>2024</v>
      </c>
      <c r="C44" t="s">
        <v>8</v>
      </c>
      <c r="D44" t="str">
        <f>LOWER(TEXT(CatchLog[[#This Row],[datetime]],"dddd"))</f>
        <v>friday</v>
      </c>
      <c r="E44" s="1">
        <v>45457.534722222219</v>
      </c>
      <c r="F44" s="1" t="s">
        <v>25</v>
      </c>
      <c r="G44" s="1" t="b">
        <v>1</v>
      </c>
      <c r="H44">
        <v>17</v>
      </c>
      <c r="I44">
        <v>12</v>
      </c>
      <c r="J44" t="s">
        <v>13</v>
      </c>
      <c r="K44">
        <f>ROUND(H44*IFERROR(INDEX(Weighins[daily_wt_per_inch],MATCH(P44,Weighins[weigh_date],0)),IFERROR(INDEX(Trips[trip_wt_per_inch],MATCH(O44,Trips[trip],0)),$S$16)),2)</f>
        <v>1.66</v>
      </c>
      <c r="L44" t="s">
        <v>17</v>
      </c>
      <c r="O44" s="9">
        <f>DATE(YEAR(CatchLog[[#This Row],[datetime]]),MONTH(CatchLog[[#This Row],[datetime]]),1)</f>
        <v>45444</v>
      </c>
      <c r="P44" s="10">
        <f>INT(CatchLog[[#This Row],[datetime]])</f>
        <v>45457</v>
      </c>
    </row>
    <row r="45" spans="1:16" x14ac:dyDescent="0.2">
      <c r="A45">
        <f t="shared" si="1"/>
        <v>44</v>
      </c>
      <c r="B45">
        <f>YEAR(CatchLog[[#This Row],[datetime]])</f>
        <v>2024</v>
      </c>
      <c r="C45" t="s">
        <v>8</v>
      </c>
      <c r="D45" t="str">
        <f>LOWER(TEXT(CatchLog[[#This Row],[datetime]],"dddd"))</f>
        <v>friday</v>
      </c>
      <c r="E45" s="1">
        <v>45457.5625</v>
      </c>
      <c r="F45" s="1" t="s">
        <v>25</v>
      </c>
      <c r="G45" s="1" t="b">
        <v>1</v>
      </c>
      <c r="H45">
        <v>17.5</v>
      </c>
      <c r="I45">
        <v>12.5</v>
      </c>
      <c r="J45" t="s">
        <v>13</v>
      </c>
      <c r="K45">
        <f>ROUND(H45*IFERROR(INDEX(Weighins[daily_wt_per_inch],MATCH(P45,Weighins[weigh_date],0)),IFERROR(INDEX(Trips[trip_wt_per_inch],MATCH(O45,Trips[trip],0)),$S$16)),2)</f>
        <v>1.71</v>
      </c>
      <c r="L45" t="s">
        <v>17</v>
      </c>
      <c r="O45" s="9">
        <f>DATE(YEAR(CatchLog[[#This Row],[datetime]]),MONTH(CatchLog[[#This Row],[datetime]]),1)</f>
        <v>45444</v>
      </c>
      <c r="P45" s="10">
        <f>INT(CatchLog[[#This Row],[datetime]])</f>
        <v>45457</v>
      </c>
    </row>
    <row r="46" spans="1:16" x14ac:dyDescent="0.2">
      <c r="A46">
        <f t="shared" si="1"/>
        <v>45</v>
      </c>
      <c r="B46">
        <f>YEAR(CatchLog[[#This Row],[datetime]])</f>
        <v>2024</v>
      </c>
      <c r="C46" t="s">
        <v>7</v>
      </c>
      <c r="D46" t="str">
        <f>LOWER(TEXT(CatchLog[[#This Row],[datetime]],"dddd"))</f>
        <v>friday</v>
      </c>
      <c r="E46" s="1">
        <v>45457.578472222223</v>
      </c>
      <c r="F46" s="1" t="s">
        <v>25</v>
      </c>
      <c r="G46" s="1" t="b">
        <v>1</v>
      </c>
      <c r="H46">
        <v>17</v>
      </c>
      <c r="I46">
        <v>16</v>
      </c>
      <c r="J46" t="s">
        <v>13</v>
      </c>
      <c r="K46">
        <f>ROUND(H46*IFERROR(INDEX(Weighins[daily_wt_per_inch],MATCH(P46,Weighins[weigh_date],0)),IFERROR(INDEX(Trips[trip_wt_per_inch],MATCH(O46,Trips[trip],0)),$S$16)),2)</f>
        <v>1.66</v>
      </c>
      <c r="L46" t="s">
        <v>17</v>
      </c>
      <c r="O46" s="9">
        <f>DATE(YEAR(CatchLog[[#This Row],[datetime]]),MONTH(CatchLog[[#This Row],[datetime]]),1)</f>
        <v>45444</v>
      </c>
      <c r="P46" s="10">
        <f>INT(CatchLog[[#This Row],[datetime]])</f>
        <v>45457</v>
      </c>
    </row>
    <row r="47" spans="1:16" x14ac:dyDescent="0.2">
      <c r="A47">
        <f t="shared" si="1"/>
        <v>46</v>
      </c>
      <c r="B47">
        <f>YEAR(CatchLog[[#This Row],[datetime]])</f>
        <v>2024</v>
      </c>
      <c r="C47" t="s">
        <v>7</v>
      </c>
      <c r="D47" t="str">
        <f>LOWER(TEXT(CatchLog[[#This Row],[datetime]],"dddd"))</f>
        <v>friday</v>
      </c>
      <c r="E47" s="1">
        <v>45457.597222222219</v>
      </c>
      <c r="F47" s="1" t="s">
        <v>25</v>
      </c>
      <c r="G47" s="1" t="b">
        <v>1</v>
      </c>
      <c r="H47">
        <v>16</v>
      </c>
      <c r="I47">
        <v>8</v>
      </c>
      <c r="J47" t="s">
        <v>13</v>
      </c>
      <c r="K47">
        <f>ROUND(H47*IFERROR(INDEX(Weighins[daily_wt_per_inch],MATCH(P47,Weighins[weigh_date],0)),IFERROR(INDEX(Trips[trip_wt_per_inch],MATCH(O47,Trips[trip],0)),$S$16)),2)</f>
        <v>1.56</v>
      </c>
      <c r="L47" t="s">
        <v>17</v>
      </c>
      <c r="O47" s="9">
        <f>DATE(YEAR(CatchLog[[#This Row],[datetime]]),MONTH(CatchLog[[#This Row],[datetime]]),1)</f>
        <v>45444</v>
      </c>
      <c r="P47" s="10">
        <f>INT(CatchLog[[#This Row],[datetime]])</f>
        <v>45457</v>
      </c>
    </row>
    <row r="48" spans="1:16" x14ac:dyDescent="0.2">
      <c r="A48">
        <f t="shared" si="1"/>
        <v>47</v>
      </c>
      <c r="B48">
        <f>YEAR(CatchLog[[#This Row],[datetime]])</f>
        <v>2024</v>
      </c>
      <c r="C48" t="s">
        <v>9</v>
      </c>
      <c r="D48" t="str">
        <f>LOWER(TEXT(CatchLog[[#This Row],[datetime]],"dddd"))</f>
        <v>friday</v>
      </c>
      <c r="E48" s="1">
        <v>45457.599305555559</v>
      </c>
      <c r="F48" s="1" t="s">
        <v>25</v>
      </c>
      <c r="G48" s="1" t="b">
        <v>1</v>
      </c>
      <c r="H48">
        <v>19</v>
      </c>
      <c r="I48">
        <v>7</v>
      </c>
      <c r="J48" t="s">
        <v>13</v>
      </c>
      <c r="K48">
        <f>ROUND(H48*IFERROR(INDEX(Weighins[daily_wt_per_inch],MATCH(P48,Weighins[weigh_date],0)),IFERROR(INDEX(Trips[trip_wt_per_inch],MATCH(O48,Trips[trip],0)),$S$16)),2)</f>
        <v>1.86</v>
      </c>
      <c r="L48" t="s">
        <v>17</v>
      </c>
      <c r="O48" s="9">
        <f>DATE(YEAR(CatchLog[[#This Row],[datetime]]),MONTH(CatchLog[[#This Row],[datetime]]),1)</f>
        <v>45444</v>
      </c>
      <c r="P48" s="10">
        <f>INT(CatchLog[[#This Row],[datetime]])</f>
        <v>45457</v>
      </c>
    </row>
    <row r="49" spans="1:16" x14ac:dyDescent="0.2">
      <c r="A49">
        <f t="shared" si="1"/>
        <v>48</v>
      </c>
      <c r="B49">
        <f>YEAR(CatchLog[[#This Row],[datetime]])</f>
        <v>2024</v>
      </c>
      <c r="C49" t="s">
        <v>9</v>
      </c>
      <c r="D49" t="str">
        <f>LOWER(TEXT(CatchLog[[#This Row],[datetime]],"dddd"))</f>
        <v>saturday</v>
      </c>
      <c r="E49" s="1">
        <v>45458.381944444445</v>
      </c>
      <c r="F49" s="1" t="s">
        <v>28</v>
      </c>
      <c r="G49" s="1" t="b">
        <v>1</v>
      </c>
      <c r="H49">
        <v>10</v>
      </c>
      <c r="I49">
        <v>25</v>
      </c>
      <c r="J49" t="s">
        <v>13</v>
      </c>
      <c r="K49">
        <f>ROUND(H49*IFERROR(INDEX(Weighins[daily_wt_per_inch],MATCH(P49,Weighins[weigh_date],0)),IFERROR(INDEX(Trips[trip_wt_per_inch],MATCH(O49,Trips[trip],0)),$S$16)),2)</f>
        <v>0.92</v>
      </c>
      <c r="L49" t="s">
        <v>27</v>
      </c>
      <c r="O49" s="9">
        <f>DATE(YEAR(CatchLog[[#This Row],[datetime]]),MONTH(CatchLog[[#This Row],[datetime]]),1)</f>
        <v>45444</v>
      </c>
      <c r="P49" s="10">
        <f>INT(CatchLog[[#This Row],[datetime]])</f>
        <v>45458</v>
      </c>
    </row>
    <row r="50" spans="1:16" x14ac:dyDescent="0.2">
      <c r="A50">
        <f t="shared" si="1"/>
        <v>49</v>
      </c>
      <c r="B50">
        <f>YEAR(CatchLog[[#This Row],[datetime]])</f>
        <v>2024</v>
      </c>
      <c r="C50" t="s">
        <v>8</v>
      </c>
      <c r="D50" t="str">
        <f>LOWER(TEXT(CatchLog[[#This Row],[datetime]],"dddd"))</f>
        <v>saturday</v>
      </c>
      <c r="E50" s="1">
        <v>45458.466666666667</v>
      </c>
      <c r="F50" s="1" t="s">
        <v>25</v>
      </c>
      <c r="G50" s="1" t="b">
        <v>1</v>
      </c>
      <c r="H50">
        <v>15.5</v>
      </c>
      <c r="I50">
        <v>11</v>
      </c>
      <c r="J50" t="s">
        <v>13</v>
      </c>
      <c r="K50">
        <f>ROUND(H50*IFERROR(INDEX(Weighins[daily_wt_per_inch],MATCH(P50,Weighins[weigh_date],0)),IFERROR(INDEX(Trips[trip_wt_per_inch],MATCH(O50,Trips[trip],0)),$S$16)),2)</f>
        <v>1.42</v>
      </c>
      <c r="L50" t="s">
        <v>29</v>
      </c>
      <c r="O50" s="9">
        <f>DATE(YEAR(CatchLog[[#This Row],[datetime]]),MONTH(CatchLog[[#This Row],[datetime]]),1)</f>
        <v>45444</v>
      </c>
      <c r="P50" s="10">
        <f>INT(CatchLog[[#This Row],[datetime]])</f>
        <v>45458</v>
      </c>
    </row>
    <row r="51" spans="1:16" x14ac:dyDescent="0.2">
      <c r="A51">
        <f t="shared" si="1"/>
        <v>50</v>
      </c>
      <c r="B51">
        <f>YEAR(CatchLog[[#This Row],[datetime]])</f>
        <v>2024</v>
      </c>
      <c r="C51" t="s">
        <v>9</v>
      </c>
      <c r="D51" t="str">
        <f>LOWER(TEXT(CatchLog[[#This Row],[datetime]],"dddd"))</f>
        <v>saturday</v>
      </c>
      <c r="E51" s="1">
        <v>45458.51458333333</v>
      </c>
      <c r="F51" s="1" t="s">
        <v>25</v>
      </c>
      <c r="G51" s="1" t="b">
        <v>1</v>
      </c>
      <c r="H51">
        <v>17</v>
      </c>
      <c r="I51">
        <v>11</v>
      </c>
      <c r="J51" t="s">
        <v>13</v>
      </c>
      <c r="K51">
        <f>ROUND(H51*IFERROR(INDEX(Weighins[daily_wt_per_inch],MATCH(P51,Weighins[weigh_date],0)),IFERROR(INDEX(Trips[trip_wt_per_inch],MATCH(O51,Trips[trip],0)),$S$16)),2)</f>
        <v>1.56</v>
      </c>
      <c r="L51" t="s">
        <v>30</v>
      </c>
      <c r="O51" s="9">
        <f>DATE(YEAR(CatchLog[[#This Row],[datetime]]),MONTH(CatchLog[[#This Row],[datetime]]),1)</f>
        <v>45444</v>
      </c>
      <c r="P51" s="10">
        <f>INT(CatchLog[[#This Row],[datetime]])</f>
        <v>45458</v>
      </c>
    </row>
    <row r="52" spans="1:16" x14ac:dyDescent="0.2">
      <c r="A52">
        <f t="shared" si="1"/>
        <v>51</v>
      </c>
      <c r="B52">
        <f>YEAR(CatchLog[[#This Row],[datetime]])</f>
        <v>2024</v>
      </c>
      <c r="C52" t="s">
        <v>8</v>
      </c>
      <c r="D52" t="str">
        <f>LOWER(TEXT(CatchLog[[#This Row],[datetime]],"dddd"))</f>
        <v>saturday</v>
      </c>
      <c r="E52" s="1">
        <v>45458.515972222223</v>
      </c>
      <c r="F52" s="1" t="s">
        <v>25</v>
      </c>
      <c r="G52" s="1" t="b">
        <v>1</v>
      </c>
      <c r="H52">
        <v>18</v>
      </c>
      <c r="I52">
        <v>9.5</v>
      </c>
      <c r="J52" t="s">
        <v>13</v>
      </c>
      <c r="K52">
        <f>ROUND(H52*IFERROR(INDEX(Weighins[daily_wt_per_inch],MATCH(P52,Weighins[weigh_date],0)),IFERROR(INDEX(Trips[trip_wt_per_inch],MATCH(O52,Trips[trip],0)),$S$16)),2)</f>
        <v>1.65</v>
      </c>
      <c r="L52" t="s">
        <v>30</v>
      </c>
      <c r="O52" s="9">
        <f>DATE(YEAR(CatchLog[[#This Row],[datetime]]),MONTH(CatchLog[[#This Row],[datetime]]),1)</f>
        <v>45444</v>
      </c>
      <c r="P52" s="10">
        <f>INT(CatchLog[[#This Row],[datetime]])</f>
        <v>45458</v>
      </c>
    </row>
    <row r="53" spans="1:16" x14ac:dyDescent="0.2">
      <c r="A53">
        <f t="shared" si="1"/>
        <v>52</v>
      </c>
      <c r="B53">
        <f>YEAR(CatchLog[[#This Row],[datetime]])</f>
        <v>2024</v>
      </c>
      <c r="C53" t="s">
        <v>8</v>
      </c>
      <c r="D53" t="str">
        <f>LOWER(TEXT(CatchLog[[#This Row],[datetime]],"dddd"))</f>
        <v>saturday</v>
      </c>
      <c r="E53" s="1">
        <v>45458.520138888889</v>
      </c>
      <c r="F53" s="1" t="s">
        <v>25</v>
      </c>
      <c r="G53" s="1" t="b">
        <v>1</v>
      </c>
      <c r="H53">
        <v>18.5</v>
      </c>
      <c r="I53">
        <v>13.5</v>
      </c>
      <c r="J53" t="s">
        <v>13</v>
      </c>
      <c r="K53">
        <f>ROUND(H53*IFERROR(INDEX(Weighins[daily_wt_per_inch],MATCH(P53,Weighins[weigh_date],0)),IFERROR(INDEX(Trips[trip_wt_per_inch],MATCH(O53,Trips[trip],0)),$S$16)),2)</f>
        <v>1.7</v>
      </c>
      <c r="L53" t="s">
        <v>30</v>
      </c>
      <c r="O53" s="9">
        <f>DATE(YEAR(CatchLog[[#This Row],[datetime]]),MONTH(CatchLog[[#This Row],[datetime]]),1)</f>
        <v>45444</v>
      </c>
      <c r="P53" s="10">
        <f>INT(CatchLog[[#This Row],[datetime]])</f>
        <v>45458</v>
      </c>
    </row>
    <row r="54" spans="1:16" x14ac:dyDescent="0.2">
      <c r="A54">
        <f t="shared" si="1"/>
        <v>53</v>
      </c>
      <c r="B54">
        <f>YEAR(CatchLog[[#This Row],[datetime]])</f>
        <v>2024</v>
      </c>
      <c r="C54" t="s">
        <v>9</v>
      </c>
      <c r="D54" t="str">
        <f>LOWER(TEXT(CatchLog[[#This Row],[datetime]],"dddd"))</f>
        <v>saturday</v>
      </c>
      <c r="E54" s="1">
        <v>45458.524305555555</v>
      </c>
      <c r="F54" s="1" t="s">
        <v>25</v>
      </c>
      <c r="G54" s="1" t="b">
        <v>1</v>
      </c>
      <c r="H54">
        <v>17.5</v>
      </c>
      <c r="I54">
        <v>10.5</v>
      </c>
      <c r="J54" t="s">
        <v>13</v>
      </c>
      <c r="K54">
        <f>ROUND(H54*IFERROR(INDEX(Weighins[daily_wt_per_inch],MATCH(P54,Weighins[weigh_date],0)),IFERROR(INDEX(Trips[trip_wt_per_inch],MATCH(O54,Trips[trip],0)),$S$16)),2)</f>
        <v>1.61</v>
      </c>
      <c r="L54" t="s">
        <v>30</v>
      </c>
      <c r="O54" s="9">
        <f>DATE(YEAR(CatchLog[[#This Row],[datetime]]),MONTH(CatchLog[[#This Row],[datetime]]),1)</f>
        <v>45444</v>
      </c>
      <c r="P54" s="10">
        <f>INT(CatchLog[[#This Row],[datetime]])</f>
        <v>45458</v>
      </c>
    </row>
    <row r="55" spans="1:16" x14ac:dyDescent="0.2">
      <c r="A55">
        <f t="shared" si="1"/>
        <v>54</v>
      </c>
      <c r="B55">
        <f>YEAR(CatchLog[[#This Row],[datetime]])</f>
        <v>2024</v>
      </c>
      <c r="C55" t="s">
        <v>8</v>
      </c>
      <c r="D55" t="str">
        <f>LOWER(TEXT(CatchLog[[#This Row],[datetime]],"dddd"))</f>
        <v>saturday</v>
      </c>
      <c r="E55" s="1">
        <v>45458.525694444441</v>
      </c>
      <c r="F55" s="1" t="s">
        <v>25</v>
      </c>
      <c r="G55" s="1" t="b">
        <v>1</v>
      </c>
      <c r="H55">
        <v>13</v>
      </c>
      <c r="I55">
        <v>8.5</v>
      </c>
      <c r="J55" t="s">
        <v>13</v>
      </c>
      <c r="K55">
        <f>ROUND(H55*IFERROR(INDEX(Weighins[daily_wt_per_inch],MATCH(P55,Weighins[weigh_date],0)),IFERROR(INDEX(Trips[trip_wt_per_inch],MATCH(O55,Trips[trip],0)),$S$16)),2)</f>
        <v>1.19</v>
      </c>
      <c r="L55" t="s">
        <v>30</v>
      </c>
      <c r="O55" s="9">
        <f>DATE(YEAR(CatchLog[[#This Row],[datetime]]),MONTH(CatchLog[[#This Row],[datetime]]),1)</f>
        <v>45444</v>
      </c>
      <c r="P55" s="10">
        <f>INT(CatchLog[[#This Row],[datetime]])</f>
        <v>45458</v>
      </c>
    </row>
    <row r="56" spans="1:16" x14ac:dyDescent="0.2">
      <c r="A56">
        <f t="shared" si="1"/>
        <v>55</v>
      </c>
      <c r="B56">
        <f>YEAR(CatchLog[[#This Row],[datetime]])</f>
        <v>2024</v>
      </c>
      <c r="C56" t="s">
        <v>9</v>
      </c>
      <c r="D56" t="str">
        <f>LOWER(TEXT(CatchLog[[#This Row],[datetime]],"dddd"))</f>
        <v>saturday</v>
      </c>
      <c r="E56" s="1">
        <v>45458.538888888892</v>
      </c>
      <c r="F56" s="1" t="s">
        <v>25</v>
      </c>
      <c r="G56" s="1" t="b">
        <v>1</v>
      </c>
      <c r="H56">
        <v>14</v>
      </c>
      <c r="I56">
        <v>12</v>
      </c>
      <c r="J56" t="s">
        <v>13</v>
      </c>
      <c r="K56">
        <f>ROUND(H56*IFERROR(INDEX(Weighins[daily_wt_per_inch],MATCH(P56,Weighins[weigh_date],0)),IFERROR(INDEX(Trips[trip_wt_per_inch],MATCH(O56,Trips[trip],0)),$S$16)),2)</f>
        <v>1.28</v>
      </c>
      <c r="L56" t="s">
        <v>30</v>
      </c>
      <c r="O56" s="9">
        <f>DATE(YEAR(CatchLog[[#This Row],[datetime]]),MONTH(CatchLog[[#This Row],[datetime]]),1)</f>
        <v>45444</v>
      </c>
      <c r="P56" s="10">
        <f>INT(CatchLog[[#This Row],[datetime]])</f>
        <v>45458</v>
      </c>
    </row>
    <row r="57" spans="1:16" x14ac:dyDescent="0.2">
      <c r="A57">
        <f t="shared" si="1"/>
        <v>56</v>
      </c>
      <c r="B57">
        <f>YEAR(CatchLog[[#This Row],[datetime]])</f>
        <v>2024</v>
      </c>
      <c r="C57" t="s">
        <v>8</v>
      </c>
      <c r="D57" t="str">
        <f>LOWER(TEXT(CatchLog[[#This Row],[datetime]],"dddd"))</f>
        <v>saturday</v>
      </c>
      <c r="E57" s="1">
        <v>45458.543055555558</v>
      </c>
      <c r="F57" s="1" t="s">
        <v>25</v>
      </c>
      <c r="G57" s="1" t="b">
        <v>1</v>
      </c>
      <c r="H57">
        <v>16</v>
      </c>
      <c r="I57">
        <v>11</v>
      </c>
      <c r="J57" t="s">
        <v>13</v>
      </c>
      <c r="K57">
        <f>ROUND(H57*IFERROR(INDEX(Weighins[daily_wt_per_inch],MATCH(P57,Weighins[weigh_date],0)),IFERROR(INDEX(Trips[trip_wt_per_inch],MATCH(O57,Trips[trip],0)),$S$16)),2)</f>
        <v>1.47</v>
      </c>
      <c r="L57" t="s">
        <v>30</v>
      </c>
      <c r="O57" s="9">
        <f>DATE(YEAR(CatchLog[[#This Row],[datetime]]),MONTH(CatchLog[[#This Row],[datetime]]),1)</f>
        <v>45444</v>
      </c>
      <c r="P57" s="10">
        <f>INT(CatchLog[[#This Row],[datetime]])</f>
        <v>45458</v>
      </c>
    </row>
    <row r="58" spans="1:16" x14ac:dyDescent="0.2">
      <c r="A58">
        <f t="shared" si="1"/>
        <v>57</v>
      </c>
      <c r="B58">
        <f>YEAR(CatchLog[[#This Row],[datetime]])</f>
        <v>2024</v>
      </c>
      <c r="C58" t="s">
        <v>9</v>
      </c>
      <c r="D58" t="str">
        <f>LOWER(TEXT(CatchLog[[#This Row],[datetime]],"dddd"))</f>
        <v>saturday</v>
      </c>
      <c r="E58" s="1">
        <v>45458.556944444441</v>
      </c>
      <c r="F58" s="1" t="s">
        <v>25</v>
      </c>
      <c r="G58" s="1" t="b">
        <v>1</v>
      </c>
      <c r="H58">
        <v>14</v>
      </c>
      <c r="I58">
        <v>10.5</v>
      </c>
      <c r="J58" t="s">
        <v>13</v>
      </c>
      <c r="K58">
        <f>ROUND(H58*IFERROR(INDEX(Weighins[daily_wt_per_inch],MATCH(P58,Weighins[weigh_date],0)),IFERROR(INDEX(Trips[trip_wt_per_inch],MATCH(O58,Trips[trip],0)),$S$16)),2)</f>
        <v>1.28</v>
      </c>
      <c r="L58" t="s">
        <v>30</v>
      </c>
      <c r="O58" s="9">
        <f>DATE(YEAR(CatchLog[[#This Row],[datetime]]),MONTH(CatchLog[[#This Row],[datetime]]),1)</f>
        <v>45444</v>
      </c>
      <c r="P58" s="10">
        <f>INT(CatchLog[[#This Row],[datetime]])</f>
        <v>45458</v>
      </c>
    </row>
    <row r="59" spans="1:16" x14ac:dyDescent="0.2">
      <c r="A59">
        <f t="shared" si="1"/>
        <v>58</v>
      </c>
      <c r="B59">
        <f>YEAR(CatchLog[[#This Row],[datetime]])</f>
        <v>2024</v>
      </c>
      <c r="C59" t="s">
        <v>7</v>
      </c>
      <c r="D59" t="str">
        <f>LOWER(TEXT(CatchLog[[#This Row],[datetime]],"dddd"))</f>
        <v>saturday</v>
      </c>
      <c r="E59" s="1">
        <v>45458.559027777781</v>
      </c>
      <c r="F59" s="1" t="s">
        <v>25</v>
      </c>
      <c r="G59" s="1" t="b">
        <v>1</v>
      </c>
      <c r="H59">
        <v>14</v>
      </c>
      <c r="I59">
        <v>10.5</v>
      </c>
      <c r="J59" t="s">
        <v>13</v>
      </c>
      <c r="K59">
        <f>ROUND(H59*IFERROR(INDEX(Weighins[daily_wt_per_inch],MATCH(P59,Weighins[weigh_date],0)),IFERROR(INDEX(Trips[trip_wt_per_inch],MATCH(O59,Trips[trip],0)),$S$16)),2)</f>
        <v>1.28</v>
      </c>
      <c r="L59" t="s">
        <v>30</v>
      </c>
      <c r="O59" s="9">
        <f>DATE(YEAR(CatchLog[[#This Row],[datetime]]),MONTH(CatchLog[[#This Row],[datetime]]),1)</f>
        <v>45444</v>
      </c>
      <c r="P59" s="10">
        <f>INT(CatchLog[[#This Row],[datetime]])</f>
        <v>45458</v>
      </c>
    </row>
    <row r="60" spans="1:16" x14ac:dyDescent="0.2">
      <c r="A60">
        <f t="shared" si="1"/>
        <v>59</v>
      </c>
      <c r="B60">
        <f>YEAR(CatchLog[[#This Row],[datetime]])</f>
        <v>2024</v>
      </c>
      <c r="C60" t="s">
        <v>8</v>
      </c>
      <c r="D60" t="str">
        <f>LOWER(TEXT(CatchLog[[#This Row],[datetime]],"dddd"))</f>
        <v>saturday</v>
      </c>
      <c r="E60" s="1">
        <v>45458.5625</v>
      </c>
      <c r="F60" s="1" t="s">
        <v>25</v>
      </c>
      <c r="G60" s="1" t="b">
        <v>1</v>
      </c>
      <c r="H60">
        <v>13.5</v>
      </c>
      <c r="I60">
        <v>11</v>
      </c>
      <c r="J60" t="s">
        <v>13</v>
      </c>
      <c r="K60">
        <f>ROUND(H60*IFERROR(INDEX(Weighins[daily_wt_per_inch],MATCH(P60,Weighins[weigh_date],0)),IFERROR(INDEX(Trips[trip_wt_per_inch],MATCH(O60,Trips[trip],0)),$S$16)),2)</f>
        <v>1.24</v>
      </c>
      <c r="L60" t="s">
        <v>30</v>
      </c>
      <c r="O60" s="9">
        <f>DATE(YEAR(CatchLog[[#This Row],[datetime]]),MONTH(CatchLog[[#This Row],[datetime]]),1)</f>
        <v>45444</v>
      </c>
      <c r="P60" s="10">
        <f>INT(CatchLog[[#This Row],[datetime]])</f>
        <v>45458</v>
      </c>
    </row>
    <row r="61" spans="1:16" x14ac:dyDescent="0.2">
      <c r="A61">
        <f t="shared" si="1"/>
        <v>60</v>
      </c>
      <c r="B61">
        <f>YEAR(CatchLog[[#This Row],[datetime]])</f>
        <v>2024</v>
      </c>
      <c r="C61" t="s">
        <v>8</v>
      </c>
      <c r="D61" t="str">
        <f>LOWER(TEXT(CatchLog[[#This Row],[datetime]],"dddd"))</f>
        <v>saturday</v>
      </c>
      <c r="E61" s="1">
        <v>45458.572916666664</v>
      </c>
      <c r="F61" s="1" t="s">
        <v>25</v>
      </c>
      <c r="G61" s="1" t="b">
        <v>1</v>
      </c>
      <c r="H61">
        <v>16.25</v>
      </c>
      <c r="I61">
        <v>16</v>
      </c>
      <c r="J61" t="s">
        <v>13</v>
      </c>
      <c r="K61">
        <f>ROUND(H61*IFERROR(INDEX(Weighins[daily_wt_per_inch],MATCH(P61,Weighins[weigh_date],0)),IFERROR(INDEX(Trips[trip_wt_per_inch],MATCH(O61,Trips[trip],0)),$S$16)),2)</f>
        <v>1.49</v>
      </c>
      <c r="L61" t="s">
        <v>30</v>
      </c>
      <c r="O61" s="9">
        <f>DATE(YEAR(CatchLog[[#This Row],[datetime]]),MONTH(CatchLog[[#This Row],[datetime]]),1)</f>
        <v>45444</v>
      </c>
      <c r="P61" s="10">
        <f>INT(CatchLog[[#This Row],[datetime]])</f>
        <v>45458</v>
      </c>
    </row>
    <row r="62" spans="1:16" x14ac:dyDescent="0.2">
      <c r="A62">
        <f t="shared" si="1"/>
        <v>61</v>
      </c>
      <c r="B62">
        <f>YEAR(CatchLog[[#This Row],[datetime]])</f>
        <v>2024</v>
      </c>
      <c r="C62" t="s">
        <v>6</v>
      </c>
      <c r="D62" t="str">
        <f>LOWER(TEXT(CatchLog[[#This Row],[datetime]],"dddd"))</f>
        <v>saturday</v>
      </c>
      <c r="E62" s="1">
        <v>45458.586805555555</v>
      </c>
      <c r="F62" s="1" t="s">
        <v>25</v>
      </c>
      <c r="G62" s="1" t="b">
        <v>1</v>
      </c>
      <c r="H62">
        <v>22.5</v>
      </c>
      <c r="I62">
        <v>14</v>
      </c>
      <c r="J62" t="s">
        <v>13</v>
      </c>
      <c r="K62">
        <f>ROUND(H62*IFERROR(INDEX(Weighins[daily_wt_per_inch],MATCH(P62,Weighins[weigh_date],0)),IFERROR(INDEX(Trips[trip_wt_per_inch],MATCH(O62,Trips[trip],0)),$S$16)),2)</f>
        <v>2.06</v>
      </c>
      <c r="L62" t="s">
        <v>30</v>
      </c>
      <c r="O62" s="9">
        <f>DATE(YEAR(CatchLog[[#This Row],[datetime]]),MONTH(CatchLog[[#This Row],[datetime]]),1)</f>
        <v>45444</v>
      </c>
      <c r="P62" s="10">
        <f>INT(CatchLog[[#This Row],[datetime]])</f>
        <v>45458</v>
      </c>
    </row>
    <row r="63" spans="1:16" x14ac:dyDescent="0.2">
      <c r="A63">
        <f t="shared" si="1"/>
        <v>62</v>
      </c>
      <c r="B63">
        <f>YEAR(CatchLog[[#This Row],[datetime]])</f>
        <v>2024</v>
      </c>
      <c r="C63" t="s">
        <v>9</v>
      </c>
      <c r="D63" t="str">
        <f>LOWER(TEXT(CatchLog[[#This Row],[datetime]],"dddd"))</f>
        <v>saturday</v>
      </c>
      <c r="E63" s="1">
        <v>45458.59375</v>
      </c>
      <c r="F63" s="1" t="s">
        <v>25</v>
      </c>
      <c r="G63" s="1" t="b">
        <v>1</v>
      </c>
      <c r="H63">
        <v>15</v>
      </c>
      <c r="I63">
        <v>11</v>
      </c>
      <c r="J63" t="s">
        <v>13</v>
      </c>
      <c r="K63">
        <f>ROUND(H63*IFERROR(INDEX(Weighins[daily_wt_per_inch],MATCH(P63,Weighins[weigh_date],0)),IFERROR(INDEX(Trips[trip_wt_per_inch],MATCH(O63,Trips[trip],0)),$S$16)),2)</f>
        <v>1.38</v>
      </c>
      <c r="L63" t="s">
        <v>30</v>
      </c>
      <c r="O63" s="9">
        <f>DATE(YEAR(CatchLog[[#This Row],[datetime]]),MONTH(CatchLog[[#This Row],[datetime]]),1)</f>
        <v>45444</v>
      </c>
      <c r="P63" s="10">
        <f>INT(CatchLog[[#This Row],[datetime]])</f>
        <v>45458</v>
      </c>
    </row>
    <row r="64" spans="1:16" x14ac:dyDescent="0.2">
      <c r="A64">
        <f t="shared" si="1"/>
        <v>63</v>
      </c>
      <c r="B64">
        <f>YEAR(CatchLog[[#This Row],[datetime]])</f>
        <v>2024</v>
      </c>
      <c r="C64" t="s">
        <v>9</v>
      </c>
      <c r="D64" t="str">
        <f>LOWER(TEXT(CatchLog[[#This Row],[datetime]],"dddd"))</f>
        <v>saturday</v>
      </c>
      <c r="E64" s="1">
        <v>45458.607638888891</v>
      </c>
      <c r="F64" s="1" t="s">
        <v>25</v>
      </c>
      <c r="G64" s="1" t="b">
        <v>1</v>
      </c>
      <c r="H64">
        <v>16</v>
      </c>
      <c r="I64">
        <v>7</v>
      </c>
      <c r="J64" t="s">
        <v>13</v>
      </c>
      <c r="K64">
        <f>ROUND(H64*IFERROR(INDEX(Weighins[daily_wt_per_inch],MATCH(P64,Weighins[weigh_date],0)),IFERROR(INDEX(Trips[trip_wt_per_inch],MATCH(O64,Trips[trip],0)),$S$16)),2)</f>
        <v>1.47</v>
      </c>
      <c r="L64" t="s">
        <v>30</v>
      </c>
      <c r="O64" s="9">
        <f>DATE(YEAR(CatchLog[[#This Row],[datetime]]),MONTH(CatchLog[[#This Row],[datetime]]),1)</f>
        <v>45444</v>
      </c>
      <c r="P64" s="10">
        <f>INT(CatchLog[[#This Row],[datetime]])</f>
        <v>45458</v>
      </c>
    </row>
    <row r="65" spans="1:16" x14ac:dyDescent="0.2">
      <c r="A65">
        <f t="shared" si="1"/>
        <v>64</v>
      </c>
      <c r="B65">
        <f>YEAR(CatchLog[[#This Row],[datetime]])</f>
        <v>2025</v>
      </c>
      <c r="C65" t="s">
        <v>9</v>
      </c>
      <c r="D65" t="str">
        <f>LOWER(TEXT(CatchLog[[#This Row],[datetime]],"dddd"))</f>
        <v>saturday</v>
      </c>
      <c r="E65" s="1">
        <v>45822.369444444441</v>
      </c>
      <c r="F65" s="1" t="s">
        <v>25</v>
      </c>
      <c r="G65" s="1" t="b">
        <v>1</v>
      </c>
      <c r="H65">
        <v>14.25</v>
      </c>
      <c r="I65">
        <v>10</v>
      </c>
      <c r="J65" t="s">
        <v>13</v>
      </c>
      <c r="K65">
        <f>ROUND(H65*IFERROR(INDEX(Weighins[daily_wt_per_inch],MATCH(P65,Weighins[weigh_date],0)),IFERROR(INDEX(Trips[trip_wt_per_inch],MATCH(O65,Trips[trip],0)),$S$16)),2)</f>
        <v>1.53</v>
      </c>
      <c r="L65" t="s">
        <v>31</v>
      </c>
      <c r="M65" t="s">
        <v>37</v>
      </c>
      <c r="O65" s="9">
        <f>DATE(YEAR(CatchLog[[#This Row],[datetime]]),MONTH(CatchLog[[#This Row],[datetime]]),1)</f>
        <v>45809</v>
      </c>
      <c r="P65" s="10">
        <f>INT(CatchLog[[#This Row],[datetime]])</f>
        <v>45822</v>
      </c>
    </row>
    <row r="66" spans="1:16" x14ac:dyDescent="0.2">
      <c r="A66">
        <f t="shared" ref="A66:A75" si="2">ROW()-1</f>
        <v>65</v>
      </c>
      <c r="B66">
        <f>YEAR(CatchLog[[#This Row],[datetime]])</f>
        <v>2025</v>
      </c>
      <c r="C66" t="s">
        <v>9</v>
      </c>
      <c r="D66" t="str">
        <f>LOWER(TEXT(CatchLog[[#This Row],[datetime]],"dddd"))</f>
        <v>saturday</v>
      </c>
      <c r="E66" s="1">
        <v>45822.583333333336</v>
      </c>
      <c r="F66" s="1" t="s">
        <v>25</v>
      </c>
      <c r="G66" s="1" t="b">
        <v>1</v>
      </c>
      <c r="H66">
        <v>14.5</v>
      </c>
      <c r="I66">
        <v>8</v>
      </c>
      <c r="J66" t="s">
        <v>13</v>
      </c>
      <c r="K66">
        <f>ROUND(H66*IFERROR(INDEX(Weighins[daily_wt_per_inch],MATCH(P66,Weighins[weigh_date],0)),IFERROR(INDEX(Trips[trip_wt_per_inch],MATCH(O66,Trips[trip],0)),$S$16)),2)</f>
        <v>1.55</v>
      </c>
      <c r="L66" t="s">
        <v>32</v>
      </c>
      <c r="M66" t="s">
        <v>37</v>
      </c>
      <c r="O66" s="9">
        <f>DATE(YEAR(CatchLog[[#This Row],[datetime]]),MONTH(CatchLog[[#This Row],[datetime]]),1)</f>
        <v>45809</v>
      </c>
      <c r="P66" s="10">
        <f>INT(CatchLog[[#This Row],[datetime]])</f>
        <v>45822</v>
      </c>
    </row>
    <row r="67" spans="1:16" x14ac:dyDescent="0.2">
      <c r="A67">
        <f t="shared" si="2"/>
        <v>66</v>
      </c>
      <c r="B67">
        <f>YEAR(CatchLog[[#This Row],[datetime]])</f>
        <v>2025</v>
      </c>
      <c r="C67" t="s">
        <v>6</v>
      </c>
      <c r="D67" t="str">
        <f>LOWER(TEXT(CatchLog[[#This Row],[datetime]],"dddd"))</f>
        <v>saturday</v>
      </c>
      <c r="E67" s="1">
        <v>45822.584722222222</v>
      </c>
      <c r="F67" s="1" t="s">
        <v>25</v>
      </c>
      <c r="G67" s="1" t="b">
        <v>1</v>
      </c>
      <c r="H67">
        <v>14</v>
      </c>
      <c r="I67">
        <v>11</v>
      </c>
      <c r="J67" t="s">
        <v>13</v>
      </c>
      <c r="K67">
        <f>ROUND(H67*IFERROR(INDEX(Weighins[daily_wt_per_inch],MATCH(P67,Weighins[weigh_date],0)),IFERROR(INDEX(Trips[trip_wt_per_inch],MATCH(O67,Trips[trip],0)),$S$16)),2)</f>
        <v>1.5</v>
      </c>
      <c r="L67" t="s">
        <v>32</v>
      </c>
      <c r="M67" t="s">
        <v>37</v>
      </c>
      <c r="O67" s="9">
        <f>DATE(YEAR(CatchLog[[#This Row],[datetime]]),MONTH(CatchLog[[#This Row],[datetime]]),1)</f>
        <v>45809</v>
      </c>
      <c r="P67" s="10">
        <f>INT(CatchLog[[#This Row],[datetime]])</f>
        <v>45822</v>
      </c>
    </row>
    <row r="68" spans="1:16" x14ac:dyDescent="0.2">
      <c r="A68">
        <f t="shared" si="2"/>
        <v>67</v>
      </c>
      <c r="B68">
        <f>YEAR(CatchLog[[#This Row],[datetime]])</f>
        <v>2025</v>
      </c>
      <c r="C68" t="s">
        <v>7</v>
      </c>
      <c r="D68" t="str">
        <f>LOWER(TEXT(CatchLog[[#This Row],[datetime]],"dddd"))</f>
        <v>saturday</v>
      </c>
      <c r="E68" s="1">
        <v>45822.595833333333</v>
      </c>
      <c r="F68" s="1" t="s">
        <v>25</v>
      </c>
      <c r="G68" s="1" t="b">
        <v>1</v>
      </c>
      <c r="H68">
        <v>16.25</v>
      </c>
      <c r="I68">
        <v>8</v>
      </c>
      <c r="J68" t="s">
        <v>13</v>
      </c>
      <c r="K68">
        <f>ROUND(H68*IFERROR(INDEX(Weighins[daily_wt_per_inch],MATCH(P68,Weighins[weigh_date],0)),IFERROR(INDEX(Trips[trip_wt_per_inch],MATCH(O68,Trips[trip],0)),$S$16)),2)</f>
        <v>1.74</v>
      </c>
      <c r="L68" t="s">
        <v>32</v>
      </c>
      <c r="M68" t="s">
        <v>37</v>
      </c>
      <c r="N68" t="s">
        <v>33</v>
      </c>
      <c r="O68" s="9">
        <f>DATE(YEAR(CatchLog[[#This Row],[datetime]]),MONTH(CatchLog[[#This Row],[datetime]]),1)</f>
        <v>45809</v>
      </c>
      <c r="P68" s="10">
        <f>INT(CatchLog[[#This Row],[datetime]])</f>
        <v>45822</v>
      </c>
    </row>
    <row r="69" spans="1:16" x14ac:dyDescent="0.2">
      <c r="A69">
        <f t="shared" si="2"/>
        <v>68</v>
      </c>
      <c r="B69">
        <f>YEAR(CatchLog[[#This Row],[datetime]])</f>
        <v>2025</v>
      </c>
      <c r="C69" t="s">
        <v>7</v>
      </c>
      <c r="D69" t="str">
        <f>LOWER(TEXT(CatchLog[[#This Row],[datetime]],"dddd"))</f>
        <v>saturday</v>
      </c>
      <c r="E69" s="1">
        <v>45822.619444444441</v>
      </c>
      <c r="F69" s="1" t="s">
        <v>25</v>
      </c>
      <c r="G69" s="1" t="b">
        <v>1</v>
      </c>
      <c r="H69">
        <v>20.5</v>
      </c>
      <c r="I69">
        <v>11.5</v>
      </c>
      <c r="J69" t="s">
        <v>13</v>
      </c>
      <c r="K69">
        <f>ROUND(H69*IFERROR(INDEX(Weighins[daily_wt_per_inch],MATCH(P69,Weighins[weigh_date],0)),IFERROR(INDEX(Trips[trip_wt_per_inch],MATCH(O69,Trips[trip],0)),$S$16)),2)</f>
        <v>2.19</v>
      </c>
      <c r="L69" t="s">
        <v>32</v>
      </c>
      <c r="M69" t="s">
        <v>37</v>
      </c>
      <c r="N69" t="s">
        <v>33</v>
      </c>
      <c r="O69" s="9">
        <f>DATE(YEAR(CatchLog[[#This Row],[datetime]]),MONTH(CatchLog[[#This Row],[datetime]]),1)</f>
        <v>45809</v>
      </c>
      <c r="P69" s="10">
        <f>INT(CatchLog[[#This Row],[datetime]])</f>
        <v>45822</v>
      </c>
    </row>
    <row r="70" spans="1:16" x14ac:dyDescent="0.2">
      <c r="A70">
        <f t="shared" si="2"/>
        <v>69</v>
      </c>
      <c r="B70">
        <f>YEAR(CatchLog[[#This Row],[datetime]])</f>
        <v>2025</v>
      </c>
      <c r="C70" t="s">
        <v>6</v>
      </c>
      <c r="D70" t="str">
        <f>LOWER(TEXT(CatchLog[[#This Row],[datetime]],"dddd"))</f>
        <v>saturday</v>
      </c>
      <c r="E70" s="1">
        <v>45822.671527777777</v>
      </c>
      <c r="F70" s="1" t="s">
        <v>25</v>
      </c>
      <c r="G70" s="1" t="b">
        <v>1</v>
      </c>
      <c r="H70">
        <v>15.5</v>
      </c>
      <c r="I70">
        <v>11</v>
      </c>
      <c r="J70" t="s">
        <v>13</v>
      </c>
      <c r="K70">
        <f>ROUND(H70*IFERROR(INDEX(Weighins[daily_wt_per_inch],MATCH(P70,Weighins[weigh_date],0)),IFERROR(INDEX(Trips[trip_wt_per_inch],MATCH(O70,Trips[trip],0)),$S$16)),2)</f>
        <v>1.66</v>
      </c>
      <c r="L70" t="s">
        <v>32</v>
      </c>
      <c r="M70" t="s">
        <v>37</v>
      </c>
      <c r="N70" t="s">
        <v>33</v>
      </c>
      <c r="O70" s="9">
        <f>DATE(YEAR(CatchLog[[#This Row],[datetime]]),MONTH(CatchLog[[#This Row],[datetime]]),1)</f>
        <v>45809</v>
      </c>
      <c r="P70" s="10">
        <f>INT(CatchLog[[#This Row],[datetime]])</f>
        <v>45822</v>
      </c>
    </row>
    <row r="71" spans="1:16" x14ac:dyDescent="0.2">
      <c r="A71">
        <f t="shared" si="2"/>
        <v>70</v>
      </c>
      <c r="B71">
        <f>YEAR(CatchLog[[#This Row],[datetime]])</f>
        <v>2025</v>
      </c>
      <c r="C71" t="s">
        <v>9</v>
      </c>
      <c r="D71" t="str">
        <f>LOWER(TEXT(CatchLog[[#This Row],[datetime]],"dddd"))</f>
        <v>friday</v>
      </c>
      <c r="E71" s="1">
        <v>45821.361111111109</v>
      </c>
      <c r="F71" s="1" t="s">
        <v>25</v>
      </c>
      <c r="G71" s="1" t="b">
        <v>1</v>
      </c>
      <c r="H71">
        <v>13.5</v>
      </c>
      <c r="I71">
        <v>9</v>
      </c>
      <c r="J71" t="s">
        <v>13</v>
      </c>
      <c r="K71">
        <f>ROUND(H71*IFERROR(INDEX(Weighins[daily_wt_per_inch],MATCH(P71,Weighins[weigh_date],0)),IFERROR(INDEX(Trips[trip_wt_per_inch],MATCH(O71,Trips[trip],0)),$S$16)),2)</f>
        <v>1.56</v>
      </c>
      <c r="L71" t="s">
        <v>39</v>
      </c>
      <c r="M71" t="s">
        <v>40</v>
      </c>
      <c r="N71" t="s">
        <v>33</v>
      </c>
      <c r="O71" s="9">
        <f>DATE(YEAR(CatchLog[[#This Row],[datetime]]),MONTH(CatchLog[[#This Row],[datetime]]),1)</f>
        <v>45809</v>
      </c>
      <c r="P71" s="10">
        <f>INT(CatchLog[[#This Row],[datetime]])</f>
        <v>45821</v>
      </c>
    </row>
    <row r="72" spans="1:16" x14ac:dyDescent="0.2">
      <c r="A72">
        <f t="shared" si="2"/>
        <v>71</v>
      </c>
      <c r="B72">
        <f>YEAR(CatchLog[[#This Row],[datetime]])</f>
        <v>2025</v>
      </c>
      <c r="C72" t="s">
        <v>7</v>
      </c>
      <c r="D72" t="str">
        <f>LOWER(TEXT(CatchLog[[#This Row],[datetime]],"dddd"))</f>
        <v>friday</v>
      </c>
      <c r="E72" s="1">
        <v>45821.404861111114</v>
      </c>
      <c r="F72" s="1" t="s">
        <v>25</v>
      </c>
      <c r="G72" s="1" t="b">
        <v>1</v>
      </c>
      <c r="H72">
        <v>13.75</v>
      </c>
      <c r="I72">
        <v>11</v>
      </c>
      <c r="J72" t="s">
        <v>13</v>
      </c>
      <c r="K72">
        <f>ROUND(H72*IFERROR(INDEX(Weighins[daily_wt_per_inch],MATCH(P72,Weighins[weigh_date],0)),IFERROR(INDEX(Trips[trip_wt_per_inch],MATCH(O72,Trips[trip],0)),$S$16)),2)</f>
        <v>1.59</v>
      </c>
      <c r="L72" t="s">
        <v>39</v>
      </c>
      <c r="M72" t="s">
        <v>42</v>
      </c>
      <c r="O72" s="9">
        <f>DATE(YEAR(CatchLog[[#This Row],[datetime]]),MONTH(CatchLog[[#This Row],[datetime]]),1)</f>
        <v>45809</v>
      </c>
      <c r="P72" s="10">
        <f>INT(CatchLog[[#This Row],[datetime]])</f>
        <v>45821</v>
      </c>
    </row>
    <row r="73" spans="1:16" x14ac:dyDescent="0.2">
      <c r="A73">
        <f t="shared" si="2"/>
        <v>72</v>
      </c>
      <c r="B73">
        <f>YEAR(CatchLog[[#This Row],[datetime]])</f>
        <v>2025</v>
      </c>
      <c r="C73" t="s">
        <v>9</v>
      </c>
      <c r="D73" t="str">
        <f>LOWER(TEXT(CatchLog[[#This Row],[datetime]],"dddd"))</f>
        <v>friday</v>
      </c>
      <c r="E73" s="1">
        <v>45821.509027777778</v>
      </c>
      <c r="F73" s="1" t="s">
        <v>25</v>
      </c>
      <c r="G73" s="1" t="b">
        <v>1</v>
      </c>
      <c r="H73">
        <v>14.5</v>
      </c>
      <c r="I73">
        <v>9.5</v>
      </c>
      <c r="J73" t="s">
        <v>13</v>
      </c>
      <c r="K73">
        <f>ROUND(H73*IFERROR(INDEX(Weighins[daily_wt_per_inch],MATCH(P73,Weighins[weigh_date],0)),IFERROR(INDEX(Trips[trip_wt_per_inch],MATCH(O73,Trips[trip],0)),$S$16)),2)</f>
        <v>1.67</v>
      </c>
      <c r="L73" t="s">
        <v>43</v>
      </c>
      <c r="M73" t="s">
        <v>40</v>
      </c>
      <c r="N73" t="s">
        <v>44</v>
      </c>
      <c r="O73" s="9">
        <f>DATE(YEAR(CatchLog[[#This Row],[datetime]]),MONTH(CatchLog[[#This Row],[datetime]]),1)</f>
        <v>45809</v>
      </c>
      <c r="P73" s="10">
        <f>INT(CatchLog[[#This Row],[datetime]])</f>
        <v>45821</v>
      </c>
    </row>
    <row r="74" spans="1:16" x14ac:dyDescent="0.2">
      <c r="A74">
        <f t="shared" si="2"/>
        <v>73</v>
      </c>
      <c r="B74">
        <f>YEAR(CatchLog[[#This Row],[datetime]])</f>
        <v>2025</v>
      </c>
      <c r="C74" t="s">
        <v>9</v>
      </c>
      <c r="D74" t="str">
        <f>LOWER(TEXT(CatchLog[[#This Row],[datetime]],"dddd"))</f>
        <v>friday</v>
      </c>
      <c r="E74" s="1">
        <v>45821.404861111114</v>
      </c>
      <c r="F74" s="1" t="s">
        <v>25</v>
      </c>
      <c r="G74" s="1" t="b">
        <v>1</v>
      </c>
      <c r="H74">
        <v>19</v>
      </c>
      <c r="I74">
        <v>12</v>
      </c>
      <c r="J74" t="s">
        <v>13</v>
      </c>
      <c r="K74">
        <f>ROUND(H74*IFERROR(INDEX(Weighins[daily_wt_per_inch],MATCH(P74,Weighins[weigh_date],0)),IFERROR(INDEX(Trips[trip_wt_per_inch],MATCH(O74,Trips[trip],0)),$S$16)),2)</f>
        <v>2.19</v>
      </c>
      <c r="L74" t="s">
        <v>45</v>
      </c>
      <c r="M74" t="s">
        <v>37</v>
      </c>
      <c r="O74" s="9">
        <f>DATE(YEAR(CatchLog[[#This Row],[datetime]]),MONTH(CatchLog[[#This Row],[datetime]]),1)</f>
        <v>45809</v>
      </c>
      <c r="P74" s="10">
        <f>INT(CatchLog[[#This Row],[datetime]])</f>
        <v>45821</v>
      </c>
    </row>
    <row r="75" spans="1:16" x14ac:dyDescent="0.2">
      <c r="A75">
        <f t="shared" si="2"/>
        <v>74</v>
      </c>
      <c r="B75">
        <f>YEAR(CatchLog[[#This Row],[datetime]])</f>
        <v>2025</v>
      </c>
      <c r="C75" t="s">
        <v>6</v>
      </c>
      <c r="D75" t="str">
        <f>LOWER(TEXT(CatchLog[[#This Row],[datetime]],"dddd"))</f>
        <v>friday</v>
      </c>
      <c r="E75" s="1">
        <v>45821.404861111114</v>
      </c>
      <c r="F75" s="1" t="s">
        <v>25</v>
      </c>
      <c r="G75" s="1" t="b">
        <v>1</v>
      </c>
      <c r="H75">
        <v>20</v>
      </c>
      <c r="I75">
        <v>12</v>
      </c>
      <c r="J75" t="s">
        <v>13</v>
      </c>
      <c r="K75">
        <f>ROUND(H75*IFERROR(INDEX(Weighins[daily_wt_per_inch],MATCH(P75,Weighins[weigh_date],0)),IFERROR(INDEX(Trips[trip_wt_per_inch],MATCH(O75,Trips[trip],0)),$S$16)),2)</f>
        <v>2.31</v>
      </c>
      <c r="L75" t="s">
        <v>45</v>
      </c>
      <c r="M75" t="s">
        <v>44</v>
      </c>
      <c r="O75" s="9">
        <f>DATE(YEAR(CatchLog[[#This Row],[datetime]]),MONTH(CatchLog[[#This Row],[datetime]]),1)</f>
        <v>45809</v>
      </c>
      <c r="P75" s="10">
        <f>INT(CatchLog[[#This Row],[datetime]])</f>
        <v>45821</v>
      </c>
    </row>
  </sheetData>
  <dataValidations count="6">
    <dataValidation type="list" allowBlank="1" showInputMessage="1" showErrorMessage="1" sqref="C2:C300" xr:uid="{73B99B4B-77EF-9748-B0A3-590F57F0DB8D}">
      <formula1>"brent,brian,matt,tyler"</formula1>
    </dataValidation>
    <dataValidation type="list" allowBlank="1" showInputMessage="1" showErrorMessage="1" sqref="F2:F300" xr:uid="{E709A6EB-4906-4840-A6E3-6C97BA4F535F}">
      <formula1>"walleye,perch"</formula1>
    </dataValidation>
    <dataValidation type="list" allowBlank="1" showInputMessage="1" showErrorMessage="1" sqref="J2:J300" xr:uid="{4AD88195-0907-FB4C-900B-2DD764A8C50A}">
      <formula1>"crawler,leech,minnow"</formula1>
    </dataValidation>
    <dataValidation type="list" allowBlank="1" showInputMessage="1" showErrorMessage="1" sqref="G2:G300" xr:uid="{6032B77A-ABFA-B74B-AFDB-4261C0A4A057}">
      <formula1>"TRUE,FALSE"</formula1>
    </dataValidation>
    <dataValidation type="list" allowBlank="1" showInputMessage="1" showErrorMessage="1" sqref="M2:M300" xr:uid="{977BBC77-DF0E-4448-9299-48316BF3AAF8}">
      <formula1>"bare,red hooks,red,gold,gold/black,silver,chartreuse,white,orange,pink,green,blue,purple,black,glow,firetiger,perch"</formula1>
    </dataValidation>
    <dataValidation type="list" allowBlank="1" showInputMessage="1" showErrorMessage="1" sqref="N2:N300" xr:uid="{33AD4789-1AB4-2E44-9068-1EF5987D14C6}">
      <formula1>"bare,red hooks,red,gold,gold/black,silver,chartreuse,white,orange,pink,green,blue,purple,black,glow,firetiger,perch,none"</formula1>
    </dataValidation>
  </dataValidations>
  <pageMargins left="0.7" right="0.7" top="0.75" bottom="0.75" header="0.3" footer="0.3"/>
  <pageSetup orientation="portrait" horizontalDpi="0" verticalDpi="0"/>
  <legacy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D35D-AD11-D44F-A035-34F164EEE4E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FE31-BDCF-394F-AF9D-3A74D9D40C42}">
  <dimension ref="A1:R72"/>
  <sheetViews>
    <sheetView topLeftCell="A35" workbookViewId="0">
      <selection activeCell="E2" sqref="E2:E13"/>
    </sheetView>
  </sheetViews>
  <sheetFormatPr baseColWidth="10" defaultRowHeight="16" x14ac:dyDescent="0.2"/>
  <cols>
    <col min="5" max="5" width="12.33203125" bestFit="1" customWidth="1"/>
  </cols>
  <sheetData>
    <row r="1" spans="1:18" x14ac:dyDescent="0.2">
      <c r="A1" s="2" t="s">
        <v>0</v>
      </c>
      <c r="B1" s="2" t="s">
        <v>19</v>
      </c>
      <c r="C1" s="2" t="s">
        <v>1</v>
      </c>
      <c r="D1" s="2" t="s">
        <v>2</v>
      </c>
      <c r="E1" s="2" t="s">
        <v>20</v>
      </c>
      <c r="F1" s="2" t="s">
        <v>24</v>
      </c>
      <c r="G1" s="2" t="s">
        <v>26</v>
      </c>
      <c r="H1" s="2" t="s">
        <v>3</v>
      </c>
      <c r="I1" s="2" t="s">
        <v>4</v>
      </c>
      <c r="J1" s="2" t="s">
        <v>5</v>
      </c>
      <c r="K1" s="2" t="s">
        <v>23</v>
      </c>
      <c r="L1" s="2" t="s">
        <v>14</v>
      </c>
      <c r="M1" s="2" t="s">
        <v>34</v>
      </c>
      <c r="N1" s="2" t="s">
        <v>35</v>
      </c>
      <c r="O1" s="2" t="s">
        <v>36</v>
      </c>
      <c r="P1" s="2"/>
      <c r="Q1" s="2"/>
      <c r="R1" s="2"/>
    </row>
    <row r="2" spans="1:18" x14ac:dyDescent="0.2">
      <c r="A2" s="2">
        <v>1</v>
      </c>
      <c r="B2" s="2">
        <v>2023</v>
      </c>
      <c r="C2" s="2" t="s">
        <v>6</v>
      </c>
      <c r="D2" s="2" t="s">
        <v>10</v>
      </c>
      <c r="E2" s="3">
        <v>45092.53125</v>
      </c>
      <c r="F2" s="3" t="s">
        <v>25</v>
      </c>
      <c r="G2" s="3" t="b">
        <v>1</v>
      </c>
      <c r="H2" s="2">
        <v>14</v>
      </c>
      <c r="I2" s="2">
        <v>9.5</v>
      </c>
      <c r="J2" s="2"/>
      <c r="K2" s="2">
        <v>1.2</v>
      </c>
      <c r="L2" s="2"/>
      <c r="M2" s="2"/>
      <c r="N2" s="2"/>
      <c r="O2" s="2"/>
      <c r="P2" s="2"/>
      <c r="Q2" s="2"/>
      <c r="R2" s="2"/>
    </row>
    <row r="3" spans="1:18" x14ac:dyDescent="0.2">
      <c r="A3" s="2">
        <v>2</v>
      </c>
      <c r="B3" s="2">
        <v>2023</v>
      </c>
      <c r="C3" s="2" t="s">
        <v>9</v>
      </c>
      <c r="D3" s="2" t="s">
        <v>10</v>
      </c>
      <c r="E3" s="3">
        <v>45092.534722222219</v>
      </c>
      <c r="F3" s="3" t="s">
        <v>25</v>
      </c>
      <c r="G3" s="3" t="b">
        <v>1</v>
      </c>
      <c r="H3" s="2">
        <v>17</v>
      </c>
      <c r="I3" s="2">
        <v>9.5</v>
      </c>
      <c r="J3" s="2"/>
      <c r="K3" s="2">
        <v>1.46</v>
      </c>
      <c r="L3" s="2"/>
      <c r="M3" s="2"/>
      <c r="N3" s="2"/>
      <c r="O3" s="2"/>
      <c r="P3" s="2"/>
      <c r="Q3" s="2"/>
      <c r="R3" s="2"/>
    </row>
    <row r="4" spans="1:18" x14ac:dyDescent="0.2">
      <c r="A4" s="2">
        <v>3</v>
      </c>
      <c r="B4" s="2">
        <v>2023</v>
      </c>
      <c r="C4" s="2" t="s">
        <v>6</v>
      </c>
      <c r="D4" s="2" t="s">
        <v>10</v>
      </c>
      <c r="E4" s="3">
        <v>45092.552083333336</v>
      </c>
      <c r="F4" s="3" t="s">
        <v>25</v>
      </c>
      <c r="G4" s="3" t="b">
        <v>1</v>
      </c>
      <c r="H4" s="2">
        <v>15.5</v>
      </c>
      <c r="I4" s="2">
        <v>9.5</v>
      </c>
      <c r="J4" s="2"/>
      <c r="K4" s="2">
        <v>1.33</v>
      </c>
      <c r="L4" s="2"/>
      <c r="M4" s="2"/>
      <c r="N4" s="2"/>
      <c r="O4" s="2"/>
      <c r="P4" s="2"/>
      <c r="Q4" s="2"/>
      <c r="R4" s="2"/>
    </row>
    <row r="5" spans="1:18" x14ac:dyDescent="0.2">
      <c r="A5" s="2">
        <v>4</v>
      </c>
      <c r="B5" s="2">
        <v>2023</v>
      </c>
      <c r="C5" s="2" t="s">
        <v>7</v>
      </c>
      <c r="D5" s="2" t="s">
        <v>10</v>
      </c>
      <c r="E5" s="3">
        <v>45092.548611111109</v>
      </c>
      <c r="F5" s="3" t="s">
        <v>25</v>
      </c>
      <c r="G5" s="3" t="b">
        <v>1</v>
      </c>
      <c r="H5" s="2">
        <v>15</v>
      </c>
      <c r="I5" s="2">
        <v>9.5</v>
      </c>
      <c r="J5" s="2"/>
      <c r="K5" s="2">
        <v>1.29</v>
      </c>
      <c r="L5" s="2"/>
      <c r="M5" s="2"/>
      <c r="N5" s="2"/>
      <c r="O5" s="2"/>
      <c r="P5" s="2"/>
      <c r="Q5" s="2"/>
      <c r="R5" s="2"/>
    </row>
    <row r="6" spans="1:18" x14ac:dyDescent="0.2">
      <c r="A6" s="2">
        <v>5</v>
      </c>
      <c r="B6" s="2">
        <v>2023</v>
      </c>
      <c r="C6" s="2" t="s">
        <v>7</v>
      </c>
      <c r="D6" s="2" t="s">
        <v>10</v>
      </c>
      <c r="E6" s="3">
        <v>45092.583333333336</v>
      </c>
      <c r="F6" s="3" t="s">
        <v>25</v>
      </c>
      <c r="G6" s="3" t="b">
        <v>1</v>
      </c>
      <c r="H6" s="2">
        <v>13</v>
      </c>
      <c r="I6" s="2">
        <v>9</v>
      </c>
      <c r="J6" s="2"/>
      <c r="K6" s="2">
        <v>1.1200000000000001</v>
      </c>
      <c r="L6" s="2"/>
      <c r="M6" s="2"/>
      <c r="N6" s="2"/>
      <c r="O6" s="2"/>
      <c r="P6" s="2"/>
      <c r="Q6" s="2"/>
      <c r="R6" s="2"/>
    </row>
    <row r="7" spans="1:18" x14ac:dyDescent="0.2">
      <c r="A7" s="2">
        <v>6</v>
      </c>
      <c r="B7" s="2">
        <v>2023</v>
      </c>
      <c r="C7" s="2" t="s">
        <v>9</v>
      </c>
      <c r="D7" s="2" t="s">
        <v>10</v>
      </c>
      <c r="E7" s="3">
        <v>45092.583333333336</v>
      </c>
      <c r="F7" s="3" t="s">
        <v>25</v>
      </c>
      <c r="G7" s="3" t="b">
        <v>1</v>
      </c>
      <c r="H7" s="2">
        <v>15</v>
      </c>
      <c r="I7" s="2">
        <v>9</v>
      </c>
      <c r="J7" s="2"/>
      <c r="K7" s="2">
        <v>1.29</v>
      </c>
      <c r="L7" s="2"/>
      <c r="M7" s="2"/>
      <c r="N7" s="2"/>
      <c r="O7" s="2"/>
      <c r="P7" s="2">
        <v>21.2</v>
      </c>
      <c r="Q7" s="2"/>
      <c r="R7" s="2"/>
    </row>
    <row r="8" spans="1:18" x14ac:dyDescent="0.2">
      <c r="A8" s="2">
        <v>7</v>
      </c>
      <c r="B8" s="2">
        <v>2023</v>
      </c>
      <c r="C8" s="2" t="s">
        <v>6</v>
      </c>
      <c r="D8" s="2" t="s">
        <v>10</v>
      </c>
      <c r="E8" s="3">
        <v>45092.604166666664</v>
      </c>
      <c r="F8" s="3" t="s">
        <v>25</v>
      </c>
      <c r="G8" s="3" t="b">
        <v>1</v>
      </c>
      <c r="H8" s="2">
        <v>16</v>
      </c>
      <c r="I8" s="2">
        <v>9</v>
      </c>
      <c r="J8" s="2"/>
      <c r="K8" s="2">
        <v>1.38</v>
      </c>
      <c r="L8" s="2"/>
      <c r="M8" s="2"/>
      <c r="N8" s="2"/>
      <c r="O8" s="2"/>
      <c r="P8" s="2">
        <v>246.5</v>
      </c>
      <c r="Q8" s="2"/>
      <c r="R8" s="2"/>
    </row>
    <row r="9" spans="1:18" x14ac:dyDescent="0.2">
      <c r="A9" s="2">
        <v>8</v>
      </c>
      <c r="B9" s="2">
        <v>2023</v>
      </c>
      <c r="C9" s="2" t="s">
        <v>7</v>
      </c>
      <c r="D9" s="2" t="s">
        <v>11</v>
      </c>
      <c r="E9" s="3">
        <v>45093.631944444445</v>
      </c>
      <c r="F9" s="3" t="s">
        <v>25</v>
      </c>
      <c r="G9" s="3" t="b">
        <v>1</v>
      </c>
      <c r="H9" s="2">
        <v>21</v>
      </c>
      <c r="I9" s="2">
        <v>11</v>
      </c>
      <c r="J9" s="2"/>
      <c r="K9" s="2">
        <v>1.81</v>
      </c>
      <c r="L9" s="2"/>
      <c r="M9" s="2"/>
      <c r="N9" s="2"/>
      <c r="O9" s="2"/>
      <c r="P9" s="2">
        <v>8.6004059999999993E-2</v>
      </c>
      <c r="Q9" s="2"/>
      <c r="R9" s="2"/>
    </row>
    <row r="10" spans="1:18" x14ac:dyDescent="0.2">
      <c r="A10" s="2">
        <v>9</v>
      </c>
      <c r="B10" s="2">
        <v>2023</v>
      </c>
      <c r="C10" s="2" t="s">
        <v>6</v>
      </c>
      <c r="D10" s="2" t="s">
        <v>11</v>
      </c>
      <c r="E10" s="3">
        <v>45093.71875</v>
      </c>
      <c r="F10" s="3" t="s">
        <v>25</v>
      </c>
      <c r="G10" s="3" t="b">
        <v>1</v>
      </c>
      <c r="H10" s="2">
        <v>16</v>
      </c>
      <c r="I10" s="2">
        <v>10</v>
      </c>
      <c r="J10" s="2"/>
      <c r="K10" s="2">
        <v>1.38</v>
      </c>
      <c r="L10" s="2"/>
      <c r="M10" s="2"/>
      <c r="N10" s="2"/>
      <c r="O10" s="2"/>
      <c r="P10" s="2"/>
      <c r="Q10" s="2"/>
      <c r="R10" s="2"/>
    </row>
    <row r="11" spans="1:18" x14ac:dyDescent="0.2">
      <c r="A11" s="2">
        <v>10</v>
      </c>
      <c r="B11" s="2">
        <v>2023</v>
      </c>
      <c r="C11" s="2" t="s">
        <v>9</v>
      </c>
      <c r="D11" s="2" t="s">
        <v>11</v>
      </c>
      <c r="E11" s="3">
        <v>45093.652777777781</v>
      </c>
      <c r="F11" s="3" t="s">
        <v>25</v>
      </c>
      <c r="G11" s="3" t="b">
        <v>1</v>
      </c>
      <c r="H11" s="2">
        <v>16</v>
      </c>
      <c r="I11" s="2">
        <v>7</v>
      </c>
      <c r="J11" s="2"/>
      <c r="K11" s="2">
        <v>1.38</v>
      </c>
      <c r="L11" s="2"/>
      <c r="M11" s="2"/>
      <c r="N11" s="2"/>
      <c r="O11" s="2"/>
      <c r="P11" s="2"/>
      <c r="Q11" s="2"/>
      <c r="R11" s="2"/>
    </row>
    <row r="12" spans="1:18" x14ac:dyDescent="0.2">
      <c r="A12" s="2">
        <v>11</v>
      </c>
      <c r="B12" s="2">
        <v>2023</v>
      </c>
      <c r="C12" s="2" t="s">
        <v>7</v>
      </c>
      <c r="D12" s="2" t="s">
        <v>11</v>
      </c>
      <c r="E12" s="3">
        <v>45093.697916666664</v>
      </c>
      <c r="F12" s="3" t="s">
        <v>25</v>
      </c>
      <c r="G12" s="3" t="b">
        <v>1</v>
      </c>
      <c r="H12" s="2">
        <v>13</v>
      </c>
      <c r="I12" s="2">
        <v>7</v>
      </c>
      <c r="J12" s="2"/>
      <c r="K12" s="2">
        <v>1.1200000000000001</v>
      </c>
      <c r="L12" s="2"/>
      <c r="M12" s="2"/>
      <c r="N12" s="2"/>
      <c r="O12" s="2"/>
      <c r="P12" s="2"/>
      <c r="Q12" s="2"/>
      <c r="R12" s="2"/>
    </row>
    <row r="13" spans="1:18" x14ac:dyDescent="0.2">
      <c r="A13" s="2">
        <v>12</v>
      </c>
      <c r="B13" s="2">
        <v>2023</v>
      </c>
      <c r="C13" s="2" t="s">
        <v>8</v>
      </c>
      <c r="D13" s="2" t="s">
        <v>11</v>
      </c>
      <c r="E13" s="3">
        <v>45093.697916666664</v>
      </c>
      <c r="F13" s="3" t="s">
        <v>25</v>
      </c>
      <c r="G13" s="3" t="b">
        <v>1</v>
      </c>
      <c r="H13" s="2">
        <v>16</v>
      </c>
      <c r="I13" s="2">
        <v>7</v>
      </c>
      <c r="J13" s="2"/>
      <c r="K13" s="2">
        <v>1.38</v>
      </c>
      <c r="L13" s="2"/>
      <c r="M13" s="2"/>
      <c r="N13" s="2"/>
      <c r="O13" s="2"/>
      <c r="P13" s="2"/>
      <c r="Q13" s="2"/>
      <c r="R13" s="2"/>
    </row>
    <row r="14" spans="1:18" x14ac:dyDescent="0.2">
      <c r="A14" s="2">
        <v>13</v>
      </c>
      <c r="B14" s="2">
        <v>2023</v>
      </c>
      <c r="C14" s="2" t="s">
        <v>7</v>
      </c>
      <c r="D14" s="2" t="s">
        <v>11</v>
      </c>
      <c r="E14" s="3">
        <v>45093.708333333336</v>
      </c>
      <c r="F14" s="3" t="s">
        <v>25</v>
      </c>
      <c r="G14" s="3" t="b">
        <v>1</v>
      </c>
      <c r="H14" s="2">
        <v>15</v>
      </c>
      <c r="I14" s="2">
        <v>11</v>
      </c>
      <c r="J14" s="2"/>
      <c r="K14" s="2">
        <v>1.29</v>
      </c>
      <c r="L14" s="2"/>
      <c r="M14" s="2"/>
      <c r="N14" s="2"/>
      <c r="O14" s="2"/>
      <c r="P14" s="2"/>
      <c r="Q14" s="2"/>
      <c r="R14" s="2"/>
    </row>
    <row r="15" spans="1:18" x14ac:dyDescent="0.2">
      <c r="A15" s="2">
        <v>14</v>
      </c>
      <c r="B15" s="2">
        <v>2023</v>
      </c>
      <c r="C15" s="2" t="s">
        <v>7</v>
      </c>
      <c r="D15" s="2" t="s">
        <v>11</v>
      </c>
      <c r="E15" s="3">
        <v>45093.614583333336</v>
      </c>
      <c r="F15" s="3" t="s">
        <v>25</v>
      </c>
      <c r="G15" s="3" t="b">
        <v>1</v>
      </c>
      <c r="H15" s="2">
        <v>14</v>
      </c>
      <c r="I15" s="2">
        <v>9</v>
      </c>
      <c r="J15" s="2"/>
      <c r="K15" s="2">
        <v>1.2</v>
      </c>
      <c r="L15" s="2"/>
      <c r="M15" s="2"/>
      <c r="N15" s="2"/>
      <c r="O15" s="2"/>
      <c r="P15" s="2"/>
      <c r="Q15" s="2"/>
      <c r="R15" s="2"/>
    </row>
    <row r="16" spans="1:18" x14ac:dyDescent="0.2">
      <c r="A16" s="2">
        <v>15</v>
      </c>
      <c r="B16" s="2">
        <v>2023</v>
      </c>
      <c r="C16" s="2" t="s">
        <v>7</v>
      </c>
      <c r="D16" s="2" t="s">
        <v>11</v>
      </c>
      <c r="E16" s="3">
        <v>45093.625</v>
      </c>
      <c r="F16" s="3" t="s">
        <v>25</v>
      </c>
      <c r="G16" s="3" t="b">
        <v>1</v>
      </c>
      <c r="H16" s="2">
        <v>16</v>
      </c>
      <c r="I16" s="2">
        <v>8.5</v>
      </c>
      <c r="J16" s="2"/>
      <c r="K16" s="2">
        <v>1.38</v>
      </c>
      <c r="L16" s="2"/>
      <c r="M16" s="2"/>
      <c r="N16" s="2"/>
      <c r="O16" s="2"/>
      <c r="P16" s="2"/>
      <c r="Q16" s="2"/>
      <c r="R16" s="2"/>
    </row>
    <row r="17" spans="1:18" x14ac:dyDescent="0.2">
      <c r="A17" s="2">
        <v>16</v>
      </c>
      <c r="B17" s="2">
        <v>2023</v>
      </c>
      <c r="C17" s="2" t="s">
        <v>8</v>
      </c>
      <c r="D17" s="2" t="s">
        <v>11</v>
      </c>
      <c r="E17" s="3">
        <v>45093.739583333336</v>
      </c>
      <c r="F17" s="3" t="s">
        <v>25</v>
      </c>
      <c r="G17" s="3" t="b">
        <v>1</v>
      </c>
      <c r="H17" s="2">
        <v>14</v>
      </c>
      <c r="I17" s="2">
        <v>12</v>
      </c>
      <c r="J17" s="2"/>
      <c r="K17" s="2">
        <v>1.2</v>
      </c>
      <c r="L17" s="2"/>
      <c r="M17" s="2"/>
      <c r="N17" s="2"/>
      <c r="O17" s="2"/>
      <c r="P17" s="2"/>
      <c r="Q17" s="2"/>
      <c r="R17" s="2"/>
    </row>
    <row r="18" spans="1:18" x14ac:dyDescent="0.2">
      <c r="A18" s="2">
        <v>17</v>
      </c>
      <c r="B18" s="2">
        <v>2023</v>
      </c>
      <c r="C18" s="2" t="s">
        <v>6</v>
      </c>
      <c r="D18" s="2" t="s">
        <v>18</v>
      </c>
      <c r="E18" s="3">
        <v>45094.354166666664</v>
      </c>
      <c r="F18" s="3" t="s">
        <v>25</v>
      </c>
      <c r="G18" s="3" t="b">
        <v>1</v>
      </c>
      <c r="H18" s="2">
        <v>17</v>
      </c>
      <c r="I18" s="2">
        <v>10</v>
      </c>
      <c r="J18" s="2" t="s">
        <v>12</v>
      </c>
      <c r="K18" s="2">
        <v>1.35</v>
      </c>
      <c r="L18" s="2" t="s">
        <v>15</v>
      </c>
      <c r="M18" s="2"/>
      <c r="N18" s="2"/>
      <c r="O18" s="2"/>
      <c r="P18" s="2">
        <v>20.100000000000001</v>
      </c>
      <c r="Q18" s="2"/>
      <c r="R18" s="2"/>
    </row>
    <row r="19" spans="1:18" x14ac:dyDescent="0.2">
      <c r="A19" s="2">
        <v>18</v>
      </c>
      <c r="B19" s="2">
        <v>2023</v>
      </c>
      <c r="C19" s="2" t="s">
        <v>7</v>
      </c>
      <c r="D19" s="2" t="s">
        <v>18</v>
      </c>
      <c r="E19" s="3">
        <v>45094.363194444442</v>
      </c>
      <c r="F19" s="3" t="s">
        <v>25</v>
      </c>
      <c r="G19" s="3" t="b">
        <v>1</v>
      </c>
      <c r="H19" s="2">
        <v>17.75</v>
      </c>
      <c r="I19" s="2">
        <v>9</v>
      </c>
      <c r="J19" s="2" t="s">
        <v>13</v>
      </c>
      <c r="K19" s="2">
        <v>1.41</v>
      </c>
      <c r="L19" s="2" t="s">
        <v>15</v>
      </c>
      <c r="M19" s="2"/>
      <c r="N19" s="2"/>
      <c r="O19" s="2"/>
      <c r="P19" s="2">
        <v>252.25</v>
      </c>
      <c r="Q19" s="2"/>
      <c r="R19" s="2"/>
    </row>
    <row r="20" spans="1:18" x14ac:dyDescent="0.2">
      <c r="A20" s="2">
        <v>19</v>
      </c>
      <c r="B20" s="2">
        <v>2023</v>
      </c>
      <c r="C20" s="2" t="s">
        <v>8</v>
      </c>
      <c r="D20" s="2" t="s">
        <v>18</v>
      </c>
      <c r="E20" s="3">
        <v>45094.451388888891</v>
      </c>
      <c r="F20" s="3" t="s">
        <v>25</v>
      </c>
      <c r="G20" s="3" t="b">
        <v>1</v>
      </c>
      <c r="H20" s="2">
        <v>16.5</v>
      </c>
      <c r="I20" s="2">
        <v>13</v>
      </c>
      <c r="J20" s="2" t="s">
        <v>13</v>
      </c>
      <c r="K20" s="2">
        <v>1.31</v>
      </c>
      <c r="L20" s="2" t="s">
        <v>15</v>
      </c>
      <c r="M20" s="2"/>
      <c r="N20" s="2"/>
      <c r="O20" s="2"/>
      <c r="P20" s="2">
        <v>7.968285E-2</v>
      </c>
      <c r="Q20" s="2"/>
      <c r="R20" s="2"/>
    </row>
    <row r="21" spans="1:18" x14ac:dyDescent="0.2">
      <c r="A21" s="2">
        <v>20</v>
      </c>
      <c r="B21" s="2">
        <v>2023</v>
      </c>
      <c r="C21" s="2" t="s">
        <v>8</v>
      </c>
      <c r="D21" s="2" t="s">
        <v>18</v>
      </c>
      <c r="E21" s="3">
        <v>45094.48541666667</v>
      </c>
      <c r="F21" s="3" t="s">
        <v>25</v>
      </c>
      <c r="G21" s="3" t="b">
        <v>1</v>
      </c>
      <c r="H21" s="2">
        <v>18.75</v>
      </c>
      <c r="I21" s="2">
        <v>9</v>
      </c>
      <c r="J21" s="2" t="s">
        <v>13</v>
      </c>
      <c r="K21" s="2">
        <v>1.49</v>
      </c>
      <c r="L21" s="2" t="s">
        <v>16</v>
      </c>
      <c r="M21" s="2"/>
      <c r="N21" s="2"/>
      <c r="O21" s="2"/>
      <c r="P21" s="2"/>
      <c r="Q21" s="2"/>
      <c r="R21" s="2"/>
    </row>
    <row r="22" spans="1:18" x14ac:dyDescent="0.2">
      <c r="A22" s="2">
        <v>21</v>
      </c>
      <c r="B22" s="2">
        <v>2023</v>
      </c>
      <c r="C22" s="2" t="s">
        <v>7</v>
      </c>
      <c r="D22" s="2" t="s">
        <v>18</v>
      </c>
      <c r="E22" s="3">
        <v>45094.502083333333</v>
      </c>
      <c r="F22" s="3" t="s">
        <v>25</v>
      </c>
      <c r="G22" s="3" t="b">
        <v>1</v>
      </c>
      <c r="H22" s="2">
        <v>15</v>
      </c>
      <c r="I22" s="2">
        <v>9</v>
      </c>
      <c r="J22" s="2" t="s">
        <v>13</v>
      </c>
      <c r="K22" s="2">
        <v>1.2</v>
      </c>
      <c r="L22" s="2" t="s">
        <v>16</v>
      </c>
      <c r="M22" s="2"/>
      <c r="N22" s="2"/>
      <c r="O22" s="2"/>
      <c r="P22" s="2"/>
      <c r="Q22" s="2"/>
      <c r="R22" s="2"/>
    </row>
    <row r="23" spans="1:18" x14ac:dyDescent="0.2">
      <c r="A23" s="2">
        <v>22</v>
      </c>
      <c r="B23" s="2">
        <v>2023</v>
      </c>
      <c r="C23" s="2" t="s">
        <v>9</v>
      </c>
      <c r="D23" s="2" t="s">
        <v>18</v>
      </c>
      <c r="E23" s="3">
        <v>45094.520833333336</v>
      </c>
      <c r="F23" s="3" t="s">
        <v>25</v>
      </c>
      <c r="G23" s="3" t="b">
        <v>1</v>
      </c>
      <c r="H23" s="2">
        <v>14.5</v>
      </c>
      <c r="I23" s="2">
        <v>10</v>
      </c>
      <c r="J23" s="2" t="s">
        <v>13</v>
      </c>
      <c r="K23" s="2">
        <v>1.1599999999999999</v>
      </c>
      <c r="L23" s="2" t="s">
        <v>16</v>
      </c>
      <c r="M23" s="2"/>
      <c r="N23" s="2"/>
      <c r="O23" s="2"/>
      <c r="P23" s="2"/>
      <c r="Q23" s="2"/>
      <c r="R23" s="2">
        <v>9.2443220000000006E-2</v>
      </c>
    </row>
    <row r="24" spans="1:18" x14ac:dyDescent="0.2">
      <c r="A24" s="2">
        <v>23</v>
      </c>
      <c r="B24" s="2">
        <v>2023</v>
      </c>
      <c r="C24" s="2" t="s">
        <v>9</v>
      </c>
      <c r="D24" s="2" t="s">
        <v>18</v>
      </c>
      <c r="E24" s="3">
        <v>45094.527777777781</v>
      </c>
      <c r="F24" s="3" t="s">
        <v>25</v>
      </c>
      <c r="G24" s="3" t="b">
        <v>1</v>
      </c>
      <c r="H24" s="2">
        <v>15.5</v>
      </c>
      <c r="I24" s="2">
        <v>12</v>
      </c>
      <c r="J24" s="2" t="s">
        <v>13</v>
      </c>
      <c r="K24" s="2">
        <v>1.24</v>
      </c>
      <c r="L24" s="2" t="s">
        <v>16</v>
      </c>
      <c r="M24" s="2"/>
      <c r="N24" s="2"/>
      <c r="O24" s="2"/>
      <c r="P24" s="2"/>
      <c r="Q24" s="2"/>
      <c r="R24" s="2"/>
    </row>
    <row r="25" spans="1:18" x14ac:dyDescent="0.2">
      <c r="A25" s="2">
        <v>24</v>
      </c>
      <c r="B25" s="2">
        <v>2023</v>
      </c>
      <c r="C25" s="2" t="s">
        <v>9</v>
      </c>
      <c r="D25" s="2" t="s">
        <v>18</v>
      </c>
      <c r="E25" s="3">
        <v>45094.541666666664</v>
      </c>
      <c r="F25" s="3" t="s">
        <v>25</v>
      </c>
      <c r="G25" s="3" t="b">
        <v>1</v>
      </c>
      <c r="H25" s="2">
        <v>14.5</v>
      </c>
      <c r="I25" s="2">
        <v>12</v>
      </c>
      <c r="J25" s="2" t="s">
        <v>13</v>
      </c>
      <c r="K25" s="2">
        <v>1.1599999999999999</v>
      </c>
      <c r="L25" s="2" t="s">
        <v>16</v>
      </c>
      <c r="M25" s="2"/>
      <c r="N25" s="2"/>
      <c r="O25" s="2"/>
      <c r="P25" s="2"/>
      <c r="Q25" s="2"/>
      <c r="R25" s="2"/>
    </row>
    <row r="26" spans="1:18" x14ac:dyDescent="0.2">
      <c r="A26" s="2">
        <v>25</v>
      </c>
      <c r="B26" s="2">
        <v>2023</v>
      </c>
      <c r="C26" s="2" t="s">
        <v>6</v>
      </c>
      <c r="D26" s="2" t="s">
        <v>18</v>
      </c>
      <c r="E26" s="3">
        <v>45094.552083333336</v>
      </c>
      <c r="F26" s="3" t="s">
        <v>25</v>
      </c>
      <c r="G26" s="3" t="b">
        <v>1</v>
      </c>
      <c r="H26" s="2">
        <v>14.5</v>
      </c>
      <c r="I26" s="2">
        <v>12</v>
      </c>
      <c r="J26" s="2" t="s">
        <v>13</v>
      </c>
      <c r="K26" s="2">
        <v>1.1599999999999999</v>
      </c>
      <c r="L26" s="2" t="s">
        <v>16</v>
      </c>
      <c r="M26" s="2"/>
      <c r="N26" s="2"/>
      <c r="O26" s="2"/>
      <c r="P26" s="2"/>
      <c r="Q26" s="2"/>
      <c r="R26" s="2"/>
    </row>
    <row r="27" spans="1:18" x14ac:dyDescent="0.2">
      <c r="A27" s="2">
        <v>26</v>
      </c>
      <c r="B27" s="2">
        <v>2023</v>
      </c>
      <c r="C27" s="2" t="s">
        <v>9</v>
      </c>
      <c r="D27" s="2" t="s">
        <v>18</v>
      </c>
      <c r="E27" s="3">
        <v>45094.559027777781</v>
      </c>
      <c r="F27" s="3" t="s">
        <v>25</v>
      </c>
      <c r="G27" s="3" t="b">
        <v>1</v>
      </c>
      <c r="H27" s="2">
        <v>16.5</v>
      </c>
      <c r="I27" s="2">
        <v>11.5</v>
      </c>
      <c r="J27" s="2" t="s">
        <v>13</v>
      </c>
      <c r="K27" s="2">
        <v>1.31</v>
      </c>
      <c r="L27" s="2" t="s">
        <v>16</v>
      </c>
      <c r="M27" s="2"/>
      <c r="N27" s="2"/>
      <c r="O27" s="2"/>
      <c r="P27" s="2"/>
      <c r="Q27" s="2"/>
      <c r="R27" s="2"/>
    </row>
    <row r="28" spans="1:18" x14ac:dyDescent="0.2">
      <c r="A28" s="2">
        <v>27</v>
      </c>
      <c r="B28" s="2">
        <v>2023</v>
      </c>
      <c r="C28" s="2" t="s">
        <v>7</v>
      </c>
      <c r="D28" s="2" t="s">
        <v>18</v>
      </c>
      <c r="E28" s="3">
        <v>45094.5625</v>
      </c>
      <c r="F28" s="3" t="s">
        <v>25</v>
      </c>
      <c r="G28" s="3" t="b">
        <v>1</v>
      </c>
      <c r="H28" s="2">
        <v>16</v>
      </c>
      <c r="I28" s="2">
        <v>10</v>
      </c>
      <c r="J28" s="2" t="s">
        <v>13</v>
      </c>
      <c r="K28" s="2">
        <v>1.27</v>
      </c>
      <c r="L28" s="2" t="s">
        <v>16</v>
      </c>
      <c r="M28" s="2"/>
      <c r="N28" s="2"/>
      <c r="O28" s="2"/>
      <c r="P28" s="2"/>
      <c r="Q28" s="2"/>
      <c r="R28" s="2"/>
    </row>
    <row r="29" spans="1:18" x14ac:dyDescent="0.2">
      <c r="A29" s="2">
        <v>28</v>
      </c>
      <c r="B29" s="2">
        <v>2023</v>
      </c>
      <c r="C29" s="2" t="s">
        <v>8</v>
      </c>
      <c r="D29" s="2" t="s">
        <v>18</v>
      </c>
      <c r="E29" s="3">
        <v>45094.583333333336</v>
      </c>
      <c r="F29" s="3" t="s">
        <v>25</v>
      </c>
      <c r="G29" s="3" t="b">
        <v>1</v>
      </c>
      <c r="H29" s="2">
        <v>15.5</v>
      </c>
      <c r="I29" s="2">
        <v>20</v>
      </c>
      <c r="J29" s="2" t="s">
        <v>13</v>
      </c>
      <c r="K29" s="2">
        <v>1.24</v>
      </c>
      <c r="L29" s="2" t="s">
        <v>21</v>
      </c>
      <c r="M29" s="2"/>
      <c r="N29" s="2"/>
      <c r="O29" s="2"/>
      <c r="P29" s="2"/>
      <c r="Q29" s="2"/>
      <c r="R29" s="2"/>
    </row>
    <row r="30" spans="1:18" x14ac:dyDescent="0.2">
      <c r="A30" s="2">
        <v>29</v>
      </c>
      <c r="B30" s="2">
        <v>2023</v>
      </c>
      <c r="C30" s="2" t="s">
        <v>9</v>
      </c>
      <c r="D30" s="2" t="s">
        <v>18</v>
      </c>
      <c r="E30" s="3">
        <v>45094.625</v>
      </c>
      <c r="F30" s="3" t="s">
        <v>25</v>
      </c>
      <c r="G30" s="3" t="b">
        <v>1</v>
      </c>
      <c r="H30" s="2">
        <v>13.5</v>
      </c>
      <c r="I30" s="2">
        <v>19</v>
      </c>
      <c r="J30" s="2" t="s">
        <v>13</v>
      </c>
      <c r="K30" s="2">
        <v>1.08</v>
      </c>
      <c r="L30" s="2" t="s">
        <v>17</v>
      </c>
      <c r="M30" s="2"/>
      <c r="N30" s="2"/>
      <c r="O30" s="2"/>
      <c r="P30" s="2"/>
      <c r="Q30" s="2"/>
      <c r="R30" s="2"/>
    </row>
    <row r="31" spans="1:18" x14ac:dyDescent="0.2">
      <c r="A31" s="2">
        <v>30</v>
      </c>
      <c r="B31" s="2">
        <v>2023</v>
      </c>
      <c r="C31" s="2" t="s">
        <v>6</v>
      </c>
      <c r="D31" s="2" t="s">
        <v>18</v>
      </c>
      <c r="E31" s="3">
        <v>45094.65625</v>
      </c>
      <c r="F31" s="3" t="s">
        <v>25</v>
      </c>
      <c r="G31" s="3" t="b">
        <v>1</v>
      </c>
      <c r="H31" s="2">
        <v>13.5</v>
      </c>
      <c r="I31" s="2">
        <v>12</v>
      </c>
      <c r="J31" s="2" t="s">
        <v>12</v>
      </c>
      <c r="K31" s="2">
        <v>1.08</v>
      </c>
      <c r="L31" s="2" t="s">
        <v>17</v>
      </c>
      <c r="M31" s="2"/>
      <c r="N31" s="2"/>
      <c r="O31" s="2"/>
      <c r="P31" s="2"/>
      <c r="Q31" s="2"/>
      <c r="R31" s="2"/>
    </row>
    <row r="32" spans="1:18" x14ac:dyDescent="0.2">
      <c r="A32" s="2">
        <v>31</v>
      </c>
      <c r="B32" s="2">
        <v>2023</v>
      </c>
      <c r="C32" s="2" t="s">
        <v>7</v>
      </c>
      <c r="D32" s="2" t="s">
        <v>18</v>
      </c>
      <c r="E32" s="3">
        <v>45094.65625</v>
      </c>
      <c r="F32" s="3" t="s">
        <v>25</v>
      </c>
      <c r="G32" s="3" t="b">
        <v>1</v>
      </c>
      <c r="H32" s="2">
        <v>17.25</v>
      </c>
      <c r="I32" s="2">
        <v>11</v>
      </c>
      <c r="J32" s="2" t="s">
        <v>13</v>
      </c>
      <c r="K32" s="2">
        <v>1.37</v>
      </c>
      <c r="L32" s="2" t="s">
        <v>17</v>
      </c>
      <c r="M32" s="2"/>
      <c r="N32" s="2"/>
      <c r="O32" s="2"/>
      <c r="P32" s="2"/>
      <c r="Q32" s="2"/>
      <c r="R32" s="2"/>
    </row>
    <row r="33" spans="1:18" x14ac:dyDescent="0.2">
      <c r="A33" s="2">
        <v>32</v>
      </c>
      <c r="B33" s="2">
        <v>2023</v>
      </c>
      <c r="C33" s="2" t="s">
        <v>6</v>
      </c>
      <c r="D33" s="2" t="s">
        <v>18</v>
      </c>
      <c r="E33" s="3">
        <v>45094.684027777781</v>
      </c>
      <c r="F33" s="3" t="s">
        <v>25</v>
      </c>
      <c r="G33" s="3" t="b">
        <v>1</v>
      </c>
      <c r="H33" s="2">
        <v>16</v>
      </c>
      <c r="I33" s="2">
        <v>12</v>
      </c>
      <c r="J33" s="2" t="s">
        <v>12</v>
      </c>
      <c r="K33" s="2">
        <v>1.27</v>
      </c>
      <c r="L33" s="2" t="s">
        <v>17</v>
      </c>
      <c r="M33" s="2"/>
      <c r="N33" s="2"/>
      <c r="O33" s="2"/>
      <c r="P33" s="2"/>
      <c r="Q33" s="2"/>
      <c r="R33" s="2"/>
    </row>
    <row r="34" spans="1:18" x14ac:dyDescent="0.2">
      <c r="A34" s="2">
        <v>33</v>
      </c>
      <c r="B34" s="2">
        <v>2024</v>
      </c>
      <c r="C34" s="2" t="s">
        <v>7</v>
      </c>
      <c r="D34" s="2" t="s">
        <v>11</v>
      </c>
      <c r="E34" s="3">
        <v>45457.364583333336</v>
      </c>
      <c r="F34" s="3" t="s">
        <v>25</v>
      </c>
      <c r="G34" s="3" t="b">
        <v>1</v>
      </c>
      <c r="H34" s="2">
        <v>16</v>
      </c>
      <c r="I34" s="2">
        <v>11</v>
      </c>
      <c r="J34" s="2" t="s">
        <v>13</v>
      </c>
      <c r="K34" s="2">
        <v>1.56</v>
      </c>
      <c r="L34" s="2" t="s">
        <v>21</v>
      </c>
      <c r="M34" s="2"/>
      <c r="N34" s="2"/>
      <c r="O34" s="2"/>
      <c r="P34" s="2">
        <v>25</v>
      </c>
      <c r="Q34" s="2"/>
      <c r="R34" s="2"/>
    </row>
    <row r="35" spans="1:18" x14ac:dyDescent="0.2">
      <c r="A35" s="2">
        <v>34</v>
      </c>
      <c r="B35" s="2">
        <v>2024</v>
      </c>
      <c r="C35" s="2" t="s">
        <v>7</v>
      </c>
      <c r="D35" s="2" t="s">
        <v>11</v>
      </c>
      <c r="E35" s="3">
        <v>45457.368055555555</v>
      </c>
      <c r="F35" s="3" t="s">
        <v>25</v>
      </c>
      <c r="G35" s="3" t="b">
        <v>1</v>
      </c>
      <c r="H35" s="2">
        <v>17.5</v>
      </c>
      <c r="I35" s="2">
        <v>9.5</v>
      </c>
      <c r="J35" s="2" t="s">
        <v>13</v>
      </c>
      <c r="K35" s="2">
        <v>1.71</v>
      </c>
      <c r="L35" s="2" t="s">
        <v>21</v>
      </c>
      <c r="M35" s="2"/>
      <c r="N35" s="2"/>
      <c r="O35" s="2"/>
      <c r="P35" s="2">
        <v>255.75</v>
      </c>
      <c r="Q35" s="2"/>
      <c r="R35" s="2"/>
    </row>
    <row r="36" spans="1:18" x14ac:dyDescent="0.2">
      <c r="A36" s="2">
        <v>35</v>
      </c>
      <c r="B36" s="2">
        <v>2024</v>
      </c>
      <c r="C36" s="2" t="s">
        <v>7</v>
      </c>
      <c r="D36" s="2" t="s">
        <v>11</v>
      </c>
      <c r="E36" s="3">
        <v>45457.395833333336</v>
      </c>
      <c r="F36" s="3" t="s">
        <v>25</v>
      </c>
      <c r="G36" s="3" t="b">
        <v>1</v>
      </c>
      <c r="H36" s="2">
        <v>17</v>
      </c>
      <c r="I36" s="2">
        <v>9.5</v>
      </c>
      <c r="J36" s="2" t="s">
        <v>13</v>
      </c>
      <c r="K36" s="2">
        <v>1.66</v>
      </c>
      <c r="L36" s="2" t="s">
        <v>21</v>
      </c>
      <c r="M36" s="2"/>
      <c r="N36" s="2"/>
      <c r="O36" s="2"/>
      <c r="P36" s="2">
        <v>9.7751710000000006E-2</v>
      </c>
      <c r="Q36" s="2"/>
      <c r="R36" s="2"/>
    </row>
    <row r="37" spans="1:18" x14ac:dyDescent="0.2">
      <c r="A37" s="2">
        <v>36</v>
      </c>
      <c r="B37" s="2">
        <v>2024</v>
      </c>
      <c r="C37" s="2" t="s">
        <v>9</v>
      </c>
      <c r="D37" s="2" t="s">
        <v>11</v>
      </c>
      <c r="E37" s="3">
        <v>45457.396527777775</v>
      </c>
      <c r="F37" s="3" t="s">
        <v>25</v>
      </c>
      <c r="G37" s="3" t="b">
        <v>1</v>
      </c>
      <c r="H37" s="2">
        <v>17.5</v>
      </c>
      <c r="I37" s="2">
        <v>9</v>
      </c>
      <c r="J37" s="2" t="s">
        <v>13</v>
      </c>
      <c r="K37" s="2">
        <v>1.71</v>
      </c>
      <c r="L37" s="2" t="s">
        <v>21</v>
      </c>
      <c r="M37" s="2"/>
      <c r="N37" s="2"/>
      <c r="O37" s="2"/>
      <c r="P37" s="2"/>
      <c r="Q37" s="2"/>
      <c r="R37" s="2"/>
    </row>
    <row r="38" spans="1:18" x14ac:dyDescent="0.2">
      <c r="A38" s="2">
        <v>37</v>
      </c>
      <c r="B38" s="2">
        <v>2024</v>
      </c>
      <c r="C38" s="2" t="s">
        <v>9</v>
      </c>
      <c r="D38" s="2" t="s">
        <v>11</v>
      </c>
      <c r="E38" s="3">
        <v>45457.420138888891</v>
      </c>
      <c r="F38" s="3" t="s">
        <v>25</v>
      </c>
      <c r="G38" s="3" t="b">
        <v>1</v>
      </c>
      <c r="H38" s="2">
        <v>16</v>
      </c>
      <c r="I38" s="2">
        <v>11</v>
      </c>
      <c r="J38" s="2" t="s">
        <v>13</v>
      </c>
      <c r="K38" s="2">
        <v>1.56</v>
      </c>
      <c r="L38" s="2" t="s">
        <v>21</v>
      </c>
      <c r="M38" s="2"/>
      <c r="N38" s="2"/>
      <c r="O38" s="2"/>
      <c r="P38" s="2"/>
      <c r="Q38" s="2"/>
      <c r="R38" s="2"/>
    </row>
    <row r="39" spans="1:18" x14ac:dyDescent="0.2">
      <c r="A39" s="2">
        <v>38</v>
      </c>
      <c r="B39" s="2">
        <v>2024</v>
      </c>
      <c r="C39" s="2" t="s">
        <v>8</v>
      </c>
      <c r="D39" s="2" t="s">
        <v>11</v>
      </c>
      <c r="E39" s="3">
        <v>45457.42083333333</v>
      </c>
      <c r="F39" s="3" t="s">
        <v>25</v>
      </c>
      <c r="G39" s="3" t="b">
        <v>1</v>
      </c>
      <c r="H39" s="2">
        <v>18.25</v>
      </c>
      <c r="I39" s="2">
        <v>11</v>
      </c>
      <c r="J39" s="2" t="s">
        <v>13</v>
      </c>
      <c r="K39" s="2">
        <v>1.78</v>
      </c>
      <c r="L39" s="2" t="s">
        <v>21</v>
      </c>
      <c r="M39" s="2"/>
      <c r="N39" s="2"/>
      <c r="O39" s="2"/>
      <c r="P39" s="2"/>
      <c r="Q39" s="2"/>
      <c r="R39" s="2"/>
    </row>
    <row r="40" spans="1:18" x14ac:dyDescent="0.2">
      <c r="A40" s="2">
        <v>39</v>
      </c>
      <c r="B40" s="2">
        <v>2024</v>
      </c>
      <c r="C40" s="2" t="s">
        <v>8</v>
      </c>
      <c r="D40" s="2" t="s">
        <v>11</v>
      </c>
      <c r="E40" s="3">
        <v>45457.458333333336</v>
      </c>
      <c r="F40" s="3" t="s">
        <v>25</v>
      </c>
      <c r="G40" s="3" t="b">
        <v>1</v>
      </c>
      <c r="H40" s="2">
        <v>17.5</v>
      </c>
      <c r="I40" s="2">
        <v>8</v>
      </c>
      <c r="J40" s="2" t="s">
        <v>13</v>
      </c>
      <c r="K40" s="2">
        <v>1.71</v>
      </c>
      <c r="L40" s="2" t="s">
        <v>21</v>
      </c>
      <c r="M40" s="2"/>
      <c r="N40" s="2"/>
      <c r="O40" s="2"/>
      <c r="P40" s="2"/>
      <c r="Q40" s="2"/>
      <c r="R40" s="2"/>
    </row>
    <row r="41" spans="1:18" x14ac:dyDescent="0.2">
      <c r="A41" s="2">
        <v>40</v>
      </c>
      <c r="B41" s="2">
        <v>2024</v>
      </c>
      <c r="C41" s="2" t="s">
        <v>7</v>
      </c>
      <c r="D41" s="2" t="s">
        <v>11</v>
      </c>
      <c r="E41" s="3">
        <v>45457.459027777775</v>
      </c>
      <c r="F41" s="3" t="s">
        <v>25</v>
      </c>
      <c r="G41" s="3" t="b">
        <v>1</v>
      </c>
      <c r="H41" s="2">
        <v>17</v>
      </c>
      <c r="I41" s="2">
        <v>6.5</v>
      </c>
      <c r="J41" s="2" t="s">
        <v>13</v>
      </c>
      <c r="K41" s="2">
        <v>1.66</v>
      </c>
      <c r="L41" s="2" t="s">
        <v>21</v>
      </c>
      <c r="M41" s="2"/>
      <c r="N41" s="2"/>
      <c r="O41" s="2"/>
      <c r="P41" s="2"/>
      <c r="Q41" s="2"/>
      <c r="R41" s="2"/>
    </row>
    <row r="42" spans="1:18" x14ac:dyDescent="0.2">
      <c r="A42" s="2">
        <v>41</v>
      </c>
      <c r="B42" s="2">
        <v>2024</v>
      </c>
      <c r="C42" s="2" t="s">
        <v>7</v>
      </c>
      <c r="D42" s="2" t="s">
        <v>11</v>
      </c>
      <c r="E42" s="3">
        <v>45457.461805555555</v>
      </c>
      <c r="F42" s="3" t="s">
        <v>25</v>
      </c>
      <c r="G42" s="3" t="b">
        <v>1</v>
      </c>
      <c r="H42" s="2">
        <v>16.5</v>
      </c>
      <c r="I42" s="2">
        <v>10</v>
      </c>
      <c r="J42" s="2" t="s">
        <v>13</v>
      </c>
      <c r="K42" s="2">
        <v>1.61</v>
      </c>
      <c r="L42" s="2" t="s">
        <v>21</v>
      </c>
      <c r="M42" s="2"/>
      <c r="N42" s="2"/>
      <c r="O42" s="2"/>
      <c r="P42" s="2"/>
      <c r="Q42" s="2"/>
      <c r="R42" s="2"/>
    </row>
    <row r="43" spans="1:18" x14ac:dyDescent="0.2">
      <c r="A43" s="2">
        <v>42</v>
      </c>
      <c r="B43" s="2">
        <v>2024</v>
      </c>
      <c r="C43" s="2" t="s">
        <v>8</v>
      </c>
      <c r="D43" s="2" t="s">
        <v>11</v>
      </c>
      <c r="E43" s="3">
        <v>45457.486111111109</v>
      </c>
      <c r="F43" s="3" t="s">
        <v>25</v>
      </c>
      <c r="G43" s="3" t="b">
        <v>1</v>
      </c>
      <c r="H43" s="2">
        <v>16</v>
      </c>
      <c r="I43" s="2">
        <v>12.5</v>
      </c>
      <c r="J43" s="2" t="s">
        <v>13</v>
      </c>
      <c r="K43" s="2">
        <v>1.56</v>
      </c>
      <c r="L43" s="2" t="s">
        <v>22</v>
      </c>
      <c r="M43" s="2"/>
      <c r="N43" s="2"/>
      <c r="O43" s="2"/>
      <c r="P43" s="2"/>
      <c r="Q43" s="2"/>
      <c r="R43" s="2"/>
    </row>
    <row r="44" spans="1:18" x14ac:dyDescent="0.2">
      <c r="A44" s="2">
        <v>43</v>
      </c>
      <c r="B44" s="2">
        <v>2024</v>
      </c>
      <c r="C44" s="2" t="s">
        <v>8</v>
      </c>
      <c r="D44" s="2" t="s">
        <v>11</v>
      </c>
      <c r="E44" s="3">
        <v>45457.534722222219</v>
      </c>
      <c r="F44" s="3" t="s">
        <v>25</v>
      </c>
      <c r="G44" s="3" t="b">
        <v>1</v>
      </c>
      <c r="H44" s="2">
        <v>17</v>
      </c>
      <c r="I44" s="2">
        <v>12</v>
      </c>
      <c r="J44" s="2" t="s">
        <v>13</v>
      </c>
      <c r="K44" s="2">
        <v>1.66</v>
      </c>
      <c r="L44" s="2" t="s">
        <v>17</v>
      </c>
      <c r="M44" s="2"/>
      <c r="N44" s="2"/>
      <c r="O44" s="2"/>
      <c r="P44" s="2"/>
      <c r="Q44" s="2"/>
      <c r="R44" s="2"/>
    </row>
    <row r="45" spans="1:18" x14ac:dyDescent="0.2">
      <c r="A45" s="2">
        <v>44</v>
      </c>
      <c r="B45" s="2">
        <v>2024</v>
      </c>
      <c r="C45" s="2" t="s">
        <v>8</v>
      </c>
      <c r="D45" s="2" t="s">
        <v>11</v>
      </c>
      <c r="E45" s="3">
        <v>45457.5625</v>
      </c>
      <c r="F45" s="3" t="s">
        <v>25</v>
      </c>
      <c r="G45" s="3" t="b">
        <v>1</v>
      </c>
      <c r="H45" s="2">
        <v>17.5</v>
      </c>
      <c r="I45" s="2">
        <v>12.5</v>
      </c>
      <c r="J45" s="2" t="s">
        <v>13</v>
      </c>
      <c r="K45" s="2">
        <v>1.71</v>
      </c>
      <c r="L45" s="2" t="s">
        <v>17</v>
      </c>
      <c r="M45" s="2"/>
      <c r="N45" s="2"/>
      <c r="O45" s="2"/>
      <c r="P45" s="2"/>
      <c r="Q45" s="2"/>
      <c r="R45" s="2"/>
    </row>
    <row r="46" spans="1:18" x14ac:dyDescent="0.2">
      <c r="A46" s="2">
        <v>45</v>
      </c>
      <c r="B46" s="2">
        <v>2024</v>
      </c>
      <c r="C46" s="2" t="s">
        <v>7</v>
      </c>
      <c r="D46" s="2" t="s">
        <v>11</v>
      </c>
      <c r="E46" s="3">
        <v>45457.578472222223</v>
      </c>
      <c r="F46" s="3" t="s">
        <v>25</v>
      </c>
      <c r="G46" s="3" t="b">
        <v>1</v>
      </c>
      <c r="H46" s="2">
        <v>17</v>
      </c>
      <c r="I46" s="2">
        <v>16</v>
      </c>
      <c r="J46" s="2" t="s">
        <v>13</v>
      </c>
      <c r="K46" s="2">
        <v>1.66</v>
      </c>
      <c r="L46" s="2" t="s">
        <v>17</v>
      </c>
      <c r="M46" s="2"/>
      <c r="N46" s="2"/>
      <c r="O46" s="2"/>
      <c r="P46" s="2"/>
      <c r="Q46" s="2"/>
      <c r="R46" s="2"/>
    </row>
    <row r="47" spans="1:18" x14ac:dyDescent="0.2">
      <c r="A47" s="2">
        <v>46</v>
      </c>
      <c r="B47" s="2">
        <v>2024</v>
      </c>
      <c r="C47" s="2" t="s">
        <v>7</v>
      </c>
      <c r="D47" s="2" t="s">
        <v>11</v>
      </c>
      <c r="E47" s="3">
        <v>45457.597222222219</v>
      </c>
      <c r="F47" s="3" t="s">
        <v>25</v>
      </c>
      <c r="G47" s="3" t="b">
        <v>1</v>
      </c>
      <c r="H47" s="2">
        <v>16</v>
      </c>
      <c r="I47" s="2">
        <v>8</v>
      </c>
      <c r="J47" s="2" t="s">
        <v>13</v>
      </c>
      <c r="K47" s="2">
        <v>1.56</v>
      </c>
      <c r="L47" s="2" t="s">
        <v>17</v>
      </c>
      <c r="M47" s="2"/>
      <c r="N47" s="2"/>
      <c r="O47" s="2"/>
      <c r="P47" s="2"/>
      <c r="Q47" s="2"/>
      <c r="R47" s="2"/>
    </row>
    <row r="48" spans="1:18" x14ac:dyDescent="0.2">
      <c r="A48" s="2">
        <v>47</v>
      </c>
      <c r="B48" s="2">
        <v>2024</v>
      </c>
      <c r="C48" s="2" t="s">
        <v>9</v>
      </c>
      <c r="D48" s="2" t="s">
        <v>11</v>
      </c>
      <c r="E48" s="3">
        <v>45457.599305555559</v>
      </c>
      <c r="F48" s="3" t="s">
        <v>25</v>
      </c>
      <c r="G48" s="3" t="b">
        <v>1</v>
      </c>
      <c r="H48" s="2">
        <v>19</v>
      </c>
      <c r="I48" s="2">
        <v>7</v>
      </c>
      <c r="J48" s="2" t="s">
        <v>13</v>
      </c>
      <c r="K48" s="2">
        <v>1.86</v>
      </c>
      <c r="L48" s="2" t="s">
        <v>17</v>
      </c>
      <c r="M48" s="2"/>
      <c r="N48" s="2"/>
      <c r="O48" s="2"/>
      <c r="P48" s="2"/>
      <c r="Q48" s="2"/>
      <c r="R48" s="2"/>
    </row>
    <row r="49" spans="1:18" x14ac:dyDescent="0.2">
      <c r="A49" s="2">
        <v>48</v>
      </c>
      <c r="B49" s="2">
        <v>2024</v>
      </c>
      <c r="C49" s="2" t="s">
        <v>9</v>
      </c>
      <c r="D49" s="2" t="s">
        <v>18</v>
      </c>
      <c r="E49" s="3">
        <v>45458.381944444445</v>
      </c>
      <c r="F49" s="3" t="s">
        <v>28</v>
      </c>
      <c r="G49" s="3" t="b">
        <v>1</v>
      </c>
      <c r="H49" s="2">
        <v>10</v>
      </c>
      <c r="I49" s="2">
        <v>25</v>
      </c>
      <c r="J49" s="2" t="s">
        <v>13</v>
      </c>
      <c r="K49" s="2">
        <v>0.92</v>
      </c>
      <c r="L49" s="2" t="s">
        <v>27</v>
      </c>
      <c r="M49" s="2"/>
      <c r="N49" s="2"/>
      <c r="O49" s="2"/>
      <c r="P49" s="2">
        <v>23</v>
      </c>
      <c r="Q49" s="2"/>
      <c r="R49" s="2"/>
    </row>
    <row r="50" spans="1:18" x14ac:dyDescent="0.2">
      <c r="A50" s="2">
        <v>49</v>
      </c>
      <c r="B50" s="2">
        <v>2024</v>
      </c>
      <c r="C50" s="2" t="s">
        <v>8</v>
      </c>
      <c r="D50" s="2" t="s">
        <v>18</v>
      </c>
      <c r="E50" s="3">
        <v>45458.466666666667</v>
      </c>
      <c r="F50" s="3" t="s">
        <v>25</v>
      </c>
      <c r="G50" s="3" t="b">
        <v>1</v>
      </c>
      <c r="H50" s="2">
        <v>15.5</v>
      </c>
      <c r="I50" s="2">
        <v>11</v>
      </c>
      <c r="J50" s="2" t="s">
        <v>13</v>
      </c>
      <c r="K50" s="2">
        <v>1.42</v>
      </c>
      <c r="L50" s="2" t="s">
        <v>29</v>
      </c>
      <c r="M50" s="2"/>
      <c r="N50" s="2"/>
      <c r="O50" s="2"/>
      <c r="P50" s="2">
        <v>250.75</v>
      </c>
      <c r="Q50" s="2"/>
      <c r="R50" s="2"/>
    </row>
    <row r="51" spans="1:18" x14ac:dyDescent="0.2">
      <c r="A51" s="2">
        <v>50</v>
      </c>
      <c r="B51" s="2">
        <v>2024</v>
      </c>
      <c r="C51" s="2" t="s">
        <v>9</v>
      </c>
      <c r="D51" s="2" t="s">
        <v>18</v>
      </c>
      <c r="E51" s="3">
        <v>45458.51458333333</v>
      </c>
      <c r="F51" s="3" t="s">
        <v>25</v>
      </c>
      <c r="G51" s="3" t="b">
        <v>1</v>
      </c>
      <c r="H51" s="2">
        <v>17</v>
      </c>
      <c r="I51" s="2">
        <v>11</v>
      </c>
      <c r="J51" s="2" t="s">
        <v>13</v>
      </c>
      <c r="K51" s="2">
        <v>1.56</v>
      </c>
      <c r="L51" s="2" t="s">
        <v>30</v>
      </c>
      <c r="M51" s="2"/>
      <c r="N51" s="2"/>
      <c r="O51" s="2"/>
      <c r="P51" s="2">
        <v>9.1724829999999993E-2</v>
      </c>
      <c r="Q51" s="2"/>
      <c r="R51" s="2"/>
    </row>
    <row r="52" spans="1:18" x14ac:dyDescent="0.2">
      <c r="A52" s="2">
        <v>51</v>
      </c>
      <c r="B52" s="2">
        <v>2024</v>
      </c>
      <c r="C52" s="2" t="s">
        <v>8</v>
      </c>
      <c r="D52" s="2" t="s">
        <v>18</v>
      </c>
      <c r="E52" s="3">
        <v>45458.515972222223</v>
      </c>
      <c r="F52" s="3" t="s">
        <v>25</v>
      </c>
      <c r="G52" s="3" t="b">
        <v>1</v>
      </c>
      <c r="H52" s="2">
        <v>18</v>
      </c>
      <c r="I52" s="2">
        <v>9.5</v>
      </c>
      <c r="J52" s="2" t="s">
        <v>13</v>
      </c>
      <c r="K52" s="2">
        <v>1.65</v>
      </c>
      <c r="L52" s="2" t="s">
        <v>30</v>
      </c>
      <c r="M52" s="2"/>
      <c r="N52" s="2"/>
      <c r="O52" s="2"/>
      <c r="P52" s="2"/>
      <c r="Q52" s="2"/>
      <c r="R52" s="2"/>
    </row>
    <row r="53" spans="1:18" x14ac:dyDescent="0.2">
      <c r="A53" s="2">
        <v>52</v>
      </c>
      <c r="B53" s="2">
        <v>2024</v>
      </c>
      <c r="C53" s="2" t="s">
        <v>8</v>
      </c>
      <c r="D53" s="2" t="s">
        <v>18</v>
      </c>
      <c r="E53" s="3">
        <v>45458.520138888889</v>
      </c>
      <c r="F53" s="3" t="s">
        <v>25</v>
      </c>
      <c r="G53" s="3" t="b">
        <v>1</v>
      </c>
      <c r="H53" s="2">
        <v>18.5</v>
      </c>
      <c r="I53" s="2">
        <v>13.5</v>
      </c>
      <c r="J53" s="2" t="s">
        <v>13</v>
      </c>
      <c r="K53" s="2">
        <v>1.7</v>
      </c>
      <c r="L53" s="2" t="s">
        <v>30</v>
      </c>
      <c r="M53" s="2"/>
      <c r="N53" s="2"/>
      <c r="O53" s="2"/>
      <c r="P53" s="2"/>
      <c r="Q53" s="2"/>
      <c r="R53" s="2"/>
    </row>
    <row r="54" spans="1:18" x14ac:dyDescent="0.2">
      <c r="A54" s="2">
        <v>53</v>
      </c>
      <c r="B54" s="2">
        <v>2024</v>
      </c>
      <c r="C54" s="2" t="s">
        <v>9</v>
      </c>
      <c r="D54" s="2" t="s">
        <v>18</v>
      </c>
      <c r="E54" s="3">
        <v>45458.524305555555</v>
      </c>
      <c r="F54" s="3" t="s">
        <v>25</v>
      </c>
      <c r="G54" s="3" t="b">
        <v>1</v>
      </c>
      <c r="H54" s="2">
        <v>17.5</v>
      </c>
      <c r="I54" s="2">
        <v>10.5</v>
      </c>
      <c r="J54" s="2" t="s">
        <v>13</v>
      </c>
      <c r="K54" s="2">
        <v>1.61</v>
      </c>
      <c r="L54" s="2" t="s">
        <v>30</v>
      </c>
      <c r="M54" s="2"/>
      <c r="N54" s="2"/>
      <c r="O54" s="2"/>
      <c r="P54" s="2"/>
      <c r="Q54" s="2"/>
      <c r="R54" s="2"/>
    </row>
    <row r="55" spans="1:18" x14ac:dyDescent="0.2">
      <c r="A55" s="2">
        <v>54</v>
      </c>
      <c r="B55" s="2">
        <v>2024</v>
      </c>
      <c r="C55" s="2" t="s">
        <v>8</v>
      </c>
      <c r="D55" s="2" t="s">
        <v>18</v>
      </c>
      <c r="E55" s="3">
        <v>45458.525694444441</v>
      </c>
      <c r="F55" s="3" t="s">
        <v>25</v>
      </c>
      <c r="G55" s="3" t="b">
        <v>1</v>
      </c>
      <c r="H55" s="2">
        <v>13</v>
      </c>
      <c r="I55" s="2">
        <v>8.5</v>
      </c>
      <c r="J55" s="2" t="s">
        <v>13</v>
      </c>
      <c r="K55" s="2">
        <v>1.19</v>
      </c>
      <c r="L55" s="2" t="s">
        <v>30</v>
      </c>
      <c r="M55" s="2"/>
      <c r="N55" s="2"/>
      <c r="O55" s="2"/>
      <c r="P55" s="2"/>
      <c r="Q55" s="2"/>
      <c r="R55" s="2"/>
    </row>
    <row r="56" spans="1:18" x14ac:dyDescent="0.2">
      <c r="A56" s="2">
        <v>55</v>
      </c>
      <c r="B56" s="2">
        <v>2024</v>
      </c>
      <c r="C56" s="2" t="s">
        <v>9</v>
      </c>
      <c r="D56" s="2" t="s">
        <v>18</v>
      </c>
      <c r="E56" s="3">
        <v>45458.538888888892</v>
      </c>
      <c r="F56" s="3" t="s">
        <v>25</v>
      </c>
      <c r="G56" s="3" t="b">
        <v>1</v>
      </c>
      <c r="H56" s="2">
        <v>14</v>
      </c>
      <c r="I56" s="2">
        <v>12</v>
      </c>
      <c r="J56" s="2" t="s">
        <v>13</v>
      </c>
      <c r="K56" s="2">
        <v>1.28</v>
      </c>
      <c r="L56" s="2" t="s">
        <v>30</v>
      </c>
      <c r="M56" s="2"/>
      <c r="N56" s="2"/>
      <c r="O56" s="2"/>
      <c r="P56" s="2"/>
      <c r="Q56" s="2"/>
      <c r="R56" s="2"/>
    </row>
    <row r="57" spans="1:18" x14ac:dyDescent="0.2">
      <c r="A57" s="2">
        <v>56</v>
      </c>
      <c r="B57" s="2">
        <v>2024</v>
      </c>
      <c r="C57" s="2" t="s">
        <v>8</v>
      </c>
      <c r="D57" s="2" t="s">
        <v>18</v>
      </c>
      <c r="E57" s="3">
        <v>45458.543055555558</v>
      </c>
      <c r="F57" s="3" t="s">
        <v>25</v>
      </c>
      <c r="G57" s="3" t="b">
        <v>1</v>
      </c>
      <c r="H57" s="2">
        <v>16</v>
      </c>
      <c r="I57" s="2">
        <v>11</v>
      </c>
      <c r="J57" s="2" t="s">
        <v>13</v>
      </c>
      <c r="K57" s="2">
        <v>1.47</v>
      </c>
      <c r="L57" s="2" t="s">
        <v>30</v>
      </c>
      <c r="M57" s="2"/>
      <c r="N57" s="2"/>
      <c r="O57" s="2"/>
      <c r="P57" s="2"/>
      <c r="Q57" s="2"/>
      <c r="R57" s="2"/>
    </row>
    <row r="58" spans="1:18" x14ac:dyDescent="0.2">
      <c r="A58" s="2">
        <v>57</v>
      </c>
      <c r="B58" s="2">
        <v>2024</v>
      </c>
      <c r="C58" s="2" t="s">
        <v>9</v>
      </c>
      <c r="D58" s="2" t="s">
        <v>18</v>
      </c>
      <c r="E58" s="3">
        <v>45458.556944444441</v>
      </c>
      <c r="F58" s="3" t="s">
        <v>25</v>
      </c>
      <c r="G58" s="3" t="b">
        <v>1</v>
      </c>
      <c r="H58" s="2">
        <v>14</v>
      </c>
      <c r="I58" s="2">
        <v>10.5</v>
      </c>
      <c r="J58" s="2" t="s">
        <v>13</v>
      </c>
      <c r="K58" s="2">
        <v>1.28</v>
      </c>
      <c r="L58" s="2" t="s">
        <v>30</v>
      </c>
      <c r="M58" s="2"/>
      <c r="N58" s="2"/>
      <c r="O58" s="2"/>
      <c r="P58" s="2"/>
      <c r="Q58" s="2"/>
      <c r="R58" s="2"/>
    </row>
    <row r="59" spans="1:18" x14ac:dyDescent="0.2">
      <c r="A59" s="2">
        <v>58</v>
      </c>
      <c r="B59" s="2">
        <v>2024</v>
      </c>
      <c r="C59" s="2" t="s">
        <v>7</v>
      </c>
      <c r="D59" s="2" t="s">
        <v>18</v>
      </c>
      <c r="E59" s="3">
        <v>45458.559027777781</v>
      </c>
      <c r="F59" s="3" t="s">
        <v>25</v>
      </c>
      <c r="G59" s="3" t="b">
        <v>1</v>
      </c>
      <c r="H59" s="2">
        <v>14</v>
      </c>
      <c r="I59" s="2">
        <v>10.5</v>
      </c>
      <c r="J59" s="2" t="s">
        <v>13</v>
      </c>
      <c r="K59" s="2">
        <v>1.28</v>
      </c>
      <c r="L59" s="2" t="s">
        <v>30</v>
      </c>
      <c r="M59" s="2"/>
      <c r="N59" s="2"/>
      <c r="O59" s="2"/>
      <c r="P59" s="2"/>
      <c r="Q59" s="2"/>
      <c r="R59" s="2"/>
    </row>
    <row r="60" spans="1:18" x14ac:dyDescent="0.2">
      <c r="A60" s="2">
        <v>59</v>
      </c>
      <c r="B60" s="2">
        <v>2024</v>
      </c>
      <c r="C60" s="2" t="s">
        <v>8</v>
      </c>
      <c r="D60" s="2" t="s">
        <v>18</v>
      </c>
      <c r="E60" s="3">
        <v>45458.5625</v>
      </c>
      <c r="F60" s="3" t="s">
        <v>25</v>
      </c>
      <c r="G60" s="3" t="b">
        <v>1</v>
      </c>
      <c r="H60" s="2">
        <v>13.5</v>
      </c>
      <c r="I60" s="2">
        <v>11</v>
      </c>
      <c r="J60" s="2" t="s">
        <v>13</v>
      </c>
      <c r="K60" s="2">
        <v>1.24</v>
      </c>
      <c r="L60" s="2" t="s">
        <v>30</v>
      </c>
      <c r="M60" s="2"/>
      <c r="N60" s="2"/>
      <c r="O60" s="2"/>
      <c r="P60" s="2"/>
      <c r="Q60" s="2"/>
      <c r="R60" s="2"/>
    </row>
    <row r="61" spans="1:18" x14ac:dyDescent="0.2">
      <c r="A61" s="2">
        <v>60</v>
      </c>
      <c r="B61" s="2">
        <v>2024</v>
      </c>
      <c r="C61" s="2" t="s">
        <v>8</v>
      </c>
      <c r="D61" s="2" t="s">
        <v>18</v>
      </c>
      <c r="E61" s="3">
        <v>45458.572916666664</v>
      </c>
      <c r="F61" s="3" t="s">
        <v>25</v>
      </c>
      <c r="G61" s="3" t="b">
        <v>1</v>
      </c>
      <c r="H61" s="2">
        <v>16.25</v>
      </c>
      <c r="I61" s="2">
        <v>16</v>
      </c>
      <c r="J61" s="2" t="s">
        <v>13</v>
      </c>
      <c r="K61" s="2">
        <v>1.49</v>
      </c>
      <c r="L61" s="2" t="s">
        <v>30</v>
      </c>
      <c r="M61" s="2"/>
      <c r="N61" s="2"/>
      <c r="O61" s="2"/>
      <c r="P61" s="2"/>
      <c r="Q61" s="2"/>
      <c r="R61" s="2"/>
    </row>
    <row r="62" spans="1:18" x14ac:dyDescent="0.2">
      <c r="A62" s="2">
        <v>61</v>
      </c>
      <c r="B62" s="2">
        <v>2024</v>
      </c>
      <c r="C62" s="2" t="s">
        <v>6</v>
      </c>
      <c r="D62" s="2" t="s">
        <v>18</v>
      </c>
      <c r="E62" s="3">
        <v>45458.586805555555</v>
      </c>
      <c r="F62" s="3" t="s">
        <v>25</v>
      </c>
      <c r="G62" s="3" t="b">
        <v>1</v>
      </c>
      <c r="H62" s="2">
        <v>22.5</v>
      </c>
      <c r="I62" s="2">
        <v>14</v>
      </c>
      <c r="J62" s="2" t="s">
        <v>13</v>
      </c>
      <c r="K62" s="2">
        <v>2.06</v>
      </c>
      <c r="L62" s="2" t="s">
        <v>30</v>
      </c>
      <c r="M62" s="2"/>
      <c r="N62" s="2"/>
      <c r="O62" s="2"/>
      <c r="P62" s="2"/>
      <c r="Q62" s="2"/>
      <c r="R62" s="2"/>
    </row>
    <row r="63" spans="1:18" x14ac:dyDescent="0.2">
      <c r="A63" s="2">
        <v>62</v>
      </c>
      <c r="B63" s="2">
        <v>2024</v>
      </c>
      <c r="C63" s="2" t="s">
        <v>9</v>
      </c>
      <c r="D63" s="2" t="s">
        <v>18</v>
      </c>
      <c r="E63" s="3">
        <v>45458.59375</v>
      </c>
      <c r="F63" s="3" t="s">
        <v>25</v>
      </c>
      <c r="G63" s="3" t="b">
        <v>1</v>
      </c>
      <c r="H63" s="2">
        <v>15</v>
      </c>
      <c r="I63" s="2">
        <v>11</v>
      </c>
      <c r="J63" s="2" t="s">
        <v>13</v>
      </c>
      <c r="K63" s="2">
        <v>1.38</v>
      </c>
      <c r="L63" s="2" t="s">
        <v>30</v>
      </c>
      <c r="M63" s="2"/>
      <c r="N63" s="2"/>
      <c r="O63" s="2"/>
      <c r="P63" s="2"/>
      <c r="Q63" s="2"/>
      <c r="R63" s="2"/>
    </row>
    <row r="64" spans="1:18" x14ac:dyDescent="0.2">
      <c r="A64" s="2">
        <v>63</v>
      </c>
      <c r="B64" s="2">
        <v>2024</v>
      </c>
      <c r="C64" s="2" t="s">
        <v>9</v>
      </c>
      <c r="D64" s="2" t="s">
        <v>18</v>
      </c>
      <c r="E64" s="3">
        <v>45458.607638888891</v>
      </c>
      <c r="F64" s="3" t="s">
        <v>25</v>
      </c>
      <c r="G64" s="3" t="b">
        <v>1</v>
      </c>
      <c r="H64" s="2">
        <v>16</v>
      </c>
      <c r="I64" s="2">
        <v>7</v>
      </c>
      <c r="J64" s="2" t="s">
        <v>13</v>
      </c>
      <c r="K64" s="2">
        <v>1.47</v>
      </c>
      <c r="L64" s="2" t="s">
        <v>30</v>
      </c>
      <c r="M64" s="2"/>
      <c r="N64" s="2"/>
      <c r="O64" s="2"/>
      <c r="P64" s="2"/>
      <c r="Q64" s="2"/>
      <c r="R64" s="2"/>
    </row>
    <row r="65" spans="1:18" x14ac:dyDescent="0.2">
      <c r="A65" s="2">
        <v>64</v>
      </c>
      <c r="B65" s="2">
        <v>2025</v>
      </c>
      <c r="C65" s="2" t="s">
        <v>9</v>
      </c>
      <c r="D65" s="2" t="s">
        <v>18</v>
      </c>
      <c r="E65" s="3">
        <v>45822.369444444441</v>
      </c>
      <c r="F65" s="3" t="s">
        <v>25</v>
      </c>
      <c r="G65" s="3" t="b">
        <v>1</v>
      </c>
      <c r="H65" s="2">
        <v>14.25</v>
      </c>
      <c r="I65" s="2">
        <v>10</v>
      </c>
      <c r="J65" s="2" t="s">
        <v>13</v>
      </c>
      <c r="K65" s="2">
        <v>1.53</v>
      </c>
      <c r="L65" s="2" t="s">
        <v>31</v>
      </c>
      <c r="M65" s="2" t="s">
        <v>37</v>
      </c>
      <c r="N65" s="2"/>
      <c r="O65" s="2"/>
      <c r="P65" s="2">
        <v>10.17</v>
      </c>
      <c r="Q65" s="2"/>
      <c r="R65" s="2"/>
    </row>
    <row r="66" spans="1:18" x14ac:dyDescent="0.2">
      <c r="A66" s="2">
        <v>65</v>
      </c>
      <c r="B66" s="2">
        <v>2025</v>
      </c>
      <c r="C66" s="2" t="s">
        <v>9</v>
      </c>
      <c r="D66" s="2" t="s">
        <v>18</v>
      </c>
      <c r="E66" s="3">
        <v>45822.583333333336</v>
      </c>
      <c r="F66" s="3" t="s">
        <v>25</v>
      </c>
      <c r="G66" s="3" t="b">
        <v>1</v>
      </c>
      <c r="H66" s="2">
        <v>14.5</v>
      </c>
      <c r="I66" s="2">
        <v>8</v>
      </c>
      <c r="J66" s="2" t="s">
        <v>13</v>
      </c>
      <c r="K66" s="2">
        <v>1.55</v>
      </c>
      <c r="L66" s="2" t="s">
        <v>32</v>
      </c>
      <c r="M66" s="2" t="s">
        <v>37</v>
      </c>
      <c r="N66" s="2"/>
      <c r="O66" s="2"/>
      <c r="P66" s="2">
        <v>95</v>
      </c>
      <c r="Q66" s="2"/>
      <c r="R66" s="2"/>
    </row>
    <row r="67" spans="1:18" x14ac:dyDescent="0.2">
      <c r="A67" s="2">
        <v>66</v>
      </c>
      <c r="B67" s="2">
        <v>2025</v>
      </c>
      <c r="C67" s="2" t="s">
        <v>6</v>
      </c>
      <c r="D67" s="2" t="s">
        <v>18</v>
      </c>
      <c r="E67" s="3">
        <v>45822.584722222222</v>
      </c>
      <c r="F67" s="3" t="s">
        <v>25</v>
      </c>
      <c r="G67" s="3" t="b">
        <v>1</v>
      </c>
      <c r="H67" s="2">
        <v>14</v>
      </c>
      <c r="I67" s="2">
        <v>11</v>
      </c>
      <c r="J67" s="2" t="s">
        <v>13</v>
      </c>
      <c r="K67" s="2">
        <v>1.5</v>
      </c>
      <c r="L67" s="2" t="s">
        <v>32</v>
      </c>
      <c r="M67" s="2" t="s">
        <v>37</v>
      </c>
      <c r="N67" s="2"/>
      <c r="O67" s="2"/>
      <c r="P67" s="2">
        <v>0.10705263</v>
      </c>
      <c r="Q67" s="2"/>
      <c r="R67" s="2"/>
    </row>
    <row r="68" spans="1:18" x14ac:dyDescent="0.2">
      <c r="A68" s="2">
        <v>67</v>
      </c>
      <c r="B68" s="2">
        <v>2025</v>
      </c>
      <c r="C68" s="2" t="s">
        <v>7</v>
      </c>
      <c r="D68" s="2" t="s">
        <v>18</v>
      </c>
      <c r="E68" s="3">
        <v>45822.595833333333</v>
      </c>
      <c r="F68" s="3" t="s">
        <v>25</v>
      </c>
      <c r="G68" s="3" t="b">
        <v>1</v>
      </c>
      <c r="H68" s="2">
        <v>16.25</v>
      </c>
      <c r="I68" s="2">
        <v>8</v>
      </c>
      <c r="J68" s="2" t="s">
        <v>13</v>
      </c>
      <c r="K68" s="2">
        <v>1.74</v>
      </c>
      <c r="L68" s="2" t="s">
        <v>32</v>
      </c>
      <c r="M68" s="2" t="s">
        <v>37</v>
      </c>
      <c r="N68" s="2" t="s">
        <v>33</v>
      </c>
      <c r="O68" s="2"/>
      <c r="P68" s="2"/>
      <c r="Q68" s="2"/>
      <c r="R68" s="2"/>
    </row>
    <row r="69" spans="1:18" x14ac:dyDescent="0.2">
      <c r="A69" s="2">
        <v>68</v>
      </c>
      <c r="B69" s="2">
        <v>2025</v>
      </c>
      <c r="C69" s="2" t="s">
        <v>7</v>
      </c>
      <c r="D69" s="2" t="s">
        <v>18</v>
      </c>
      <c r="E69" s="3">
        <v>45822.619444444441</v>
      </c>
      <c r="F69" s="3" t="s">
        <v>25</v>
      </c>
      <c r="G69" s="3" t="b">
        <v>1</v>
      </c>
      <c r="H69" s="2">
        <v>20.5</v>
      </c>
      <c r="I69" s="2">
        <v>11.5</v>
      </c>
      <c r="J69" s="2" t="s">
        <v>13</v>
      </c>
      <c r="K69" s="2">
        <v>2.19</v>
      </c>
      <c r="L69" s="2" t="s">
        <v>32</v>
      </c>
      <c r="M69" s="2" t="s">
        <v>37</v>
      </c>
      <c r="N69" s="2" t="s">
        <v>33</v>
      </c>
      <c r="O69" s="2"/>
      <c r="P69" s="2"/>
      <c r="Q69" s="2"/>
      <c r="R69" s="2"/>
    </row>
    <row r="70" spans="1:18" x14ac:dyDescent="0.2">
      <c r="A70" s="2">
        <v>69</v>
      </c>
      <c r="B70" s="2">
        <v>2025</v>
      </c>
      <c r="C70" s="2" t="s">
        <v>6</v>
      </c>
      <c r="D70" s="2" t="s">
        <v>18</v>
      </c>
      <c r="E70" s="3">
        <v>45822.671527777777</v>
      </c>
      <c r="F70" s="3" t="s">
        <v>25</v>
      </c>
      <c r="G70" s="3" t="b">
        <v>1</v>
      </c>
      <c r="H70" s="2">
        <v>15.5</v>
      </c>
      <c r="I70" s="2">
        <v>11</v>
      </c>
      <c r="J70" s="2" t="s">
        <v>13</v>
      </c>
      <c r="K70" s="2">
        <v>1.66</v>
      </c>
      <c r="L70" s="2" t="s">
        <v>32</v>
      </c>
      <c r="M70" s="2" t="s">
        <v>37</v>
      </c>
      <c r="N70" s="2" t="s">
        <v>33</v>
      </c>
      <c r="O70" s="2"/>
      <c r="P70" s="2"/>
      <c r="Q70" s="2"/>
      <c r="R70" s="2"/>
    </row>
    <row r="71" spans="1:18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Hayes</dc:creator>
  <cp:lastModifiedBy>Tyler Hayes</cp:lastModifiedBy>
  <dcterms:created xsi:type="dcterms:W3CDTF">2024-06-09T01:16:03Z</dcterms:created>
  <dcterms:modified xsi:type="dcterms:W3CDTF">2026-06-18T11:20:50Z</dcterms:modified>
</cp:coreProperties>
</file>